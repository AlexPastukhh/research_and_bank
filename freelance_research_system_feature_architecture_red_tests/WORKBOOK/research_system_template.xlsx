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e4a68158c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Here" sheetId="1" r:id="Raa18ea736e6a4801"/>
    <x:sheet xmlns:r="http://schemas.openxmlformats.org/officeDocument/2006/relationships" name="Dashboard" sheetId="2" r:id="Rdab51967a091478b"/>
    <x:sheet xmlns:r="http://schemas.openxmlformats.org/officeDocument/2006/relationships" name="ProjectState" sheetId="3" r:id="R19928c2327d64fcd"/>
    <x:sheet xmlns:r="http://schemas.openxmlformats.org/officeDocument/2006/relationships" name="AtomicPlan" sheetId="4" r:id="R719ff77814b2442a"/>
    <x:sheet xmlns:r="http://schemas.openxmlformats.org/officeDocument/2006/relationships" name="RawTasks" sheetId="5" r:id="R3c1087b470d14f32"/>
    <x:sheet xmlns:r="http://schemas.openxmlformats.org/officeDocument/2006/relationships" name="ExternalEvidence" sheetId="6" r:id="R54203c2ed59f41ca"/>
    <x:sheet xmlns:r="http://schemas.openxmlformats.org/officeDocument/2006/relationships" name="ClaimLedger" sheetId="7" r:id="R9bdf972a670944fe"/>
    <x:sheet xmlns:r="http://schemas.openxmlformats.org/officeDocument/2006/relationships" name="Measurements" sheetId="8" r:id="R0eb5650021ff472d"/>
    <x:sheet xmlns:r="http://schemas.openxmlformats.org/officeDocument/2006/relationships" name="SourceRegistry" sheetId="9" r:id="R79c571a46fbc46f0"/>
    <x:sheet xmlns:r="http://schemas.openxmlformats.org/officeDocument/2006/relationships" name="SourceUsePlan" sheetId="10" r:id="Ra2ffede501ef4c39"/>
    <x:sheet xmlns:r="http://schemas.openxmlformats.org/officeDocument/2006/relationships" name="SystemControl" sheetId="11" r:id="R1cebd9e603544185"/>
    <x:sheet xmlns:r="http://schemas.openxmlformats.org/officeDocument/2006/relationships" name="ProjectIndex" sheetId="12" r:id="R8ee1b3b31cae4f9b"/>
    <x:sheet xmlns:r="http://schemas.openxmlformats.org/officeDocument/2006/relationships" name="RunState" sheetId="13" r:id="R6b6e1fae60e0440a"/>
    <x:sheet xmlns:r="http://schemas.openxmlformats.org/officeDocument/2006/relationships" name="TaskManifests" sheetId="14" r:id="R9c7b48afe8c94b71"/>
    <x:sheet xmlns:r="http://schemas.openxmlformats.org/officeDocument/2006/relationships" name="MethodRegistry" sheetId="15" r:id="Rd6c1daed8d9f4450"/>
    <x:sheet xmlns:r="http://schemas.openxmlformats.org/officeDocument/2006/relationships" name="DependencyGraph" sheetId="16" r:id="R836762e83b59456d"/>
    <x:sheet xmlns:r="http://schemas.openxmlformats.org/officeDocument/2006/relationships" name="OpportunityEconomics" sheetId="17" r:id="R014c95d3054e41b8"/>
    <x:sheet xmlns:r="http://schemas.openxmlformats.org/officeDocument/2006/relationships" name="TemporalControl" sheetId="18" r:id="R9757ef4ed0fa4e9b"/>
    <x:sheet xmlns:r="http://schemas.openxmlformats.org/officeDocument/2006/relationships" name="DailyRuns" sheetId="19" r:id="R0b42b9f16c694c2a"/>
    <x:sheet xmlns:r="http://schemas.openxmlformats.org/officeDocument/2006/relationships" name="EntityRegistry" sheetId="20" r:id="R58c10a932e5e4c79"/>
    <x:sheet xmlns:r="http://schemas.openxmlformats.org/officeDocument/2006/relationships" name="ObservationLedger" sheetId="21" r:id="Red287e53b0d1419b"/>
    <x:sheet xmlns:r="http://schemas.openxmlformats.org/officeDocument/2006/relationships" name="DailyDiffs" sheetId="22" r:id="R4be05d0504fd4f0c"/>
    <x:sheet xmlns:r="http://schemas.openxmlformats.org/officeDocument/2006/relationships" name="AuditAxes" sheetId="23" r:id="Rfc9095b4a2924825"/>
    <x:sheet xmlns:r="http://schemas.openxmlformats.org/officeDocument/2006/relationships" name="AuditRun_20260930" sheetId="24" r:id="R8485d3c629924352"/>
    <x:sheet xmlns:r="http://schemas.openxmlformats.org/officeDocument/2006/relationships" name="AuditFindings" sheetId="25" r:id="R87be1fcec2d74b8b"/>
    <x:sheet xmlns:r="http://schemas.openxmlformats.org/officeDocument/2006/relationships" name="AuditRun_v16" sheetId="26" r:id="Ra586a7a437dd4f3b"/>
    <x:sheet xmlns:r="http://schemas.openxmlformats.org/officeDocument/2006/relationships" name="ResolvedFindings_v16" sheetId="27" r:id="Re92520b63cb24698"/>
    <x:sheet xmlns:r="http://schemas.openxmlformats.org/officeDocument/2006/relationships" name="UseCaseRegistry" sheetId="28" r:id="Ra37fd72021e34dee"/>
    <x:sheet xmlns:r="http://schemas.openxmlformats.org/officeDocument/2006/relationships" name="AuditRun_AF2" sheetId="29" r:id="R6e0b7543a96f4db9"/>
    <x:sheet xmlns:r="http://schemas.openxmlformats.org/officeDocument/2006/relationships" name="AuditFindings_AF2" sheetId="30" r:id="Rfd8c2197ecf64d94"/>
    <x:sheet xmlns:r="http://schemas.openxmlformats.org/officeDocument/2006/relationships" name="ArchitectureBudget" sheetId="31" r:id="Rece8e456581d4334"/>
    <x:sheet xmlns:r="http://schemas.openxmlformats.org/officeDocument/2006/relationships" name="AuditRun_AF2_v18" sheetId="32" r:id="R9f001424a3ae46f6"/>
    <x:sheet xmlns:r="http://schemas.openxmlformats.org/officeDocument/2006/relationships" name="GoldenPaths" sheetId="33" r:id="R2aa81ca1832144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63A5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2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 applyAlignment="1">
      <x:alignment wrapText="1"/>
    </x:xf>
    <x:xf numFmtId="0" fontId="2" fillId="2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2" fillId="21" borderId="0" xfId="0" applyNumberFormat="1" applyFont="1" applyFill="1" applyBorder="1" applyAlignment="1">
      <x:alignment wrapText="1"/>
    </x:xf>
    <x:xf numFmtId="0" fontId="1" fillId="22" borderId="0" xfId="0" applyNumberFormat="1" applyFont="1" applyFill="1" applyBorder="1" applyAlignment="1">
      <x:alignment horizontal="center" vertical="center" wrapText="1"/>
    </x:xf>
    <x:xf numFmtId="0" fontId="2" fillId="22" borderId="0" xfId="0" applyNumberFormat="1" applyFont="1" applyFill="1" applyBorder="1" applyAlignment="1">
      <x:alignment horizontal="center" vertical="center" wrapText="1"/>
    </x:xf>
    <x:xf numFmtId="0" fontId="2" fillId="23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</x:cellXfs>
  <x:cellStyles count="1">
    <x:cellStyle name="Normal" xfId="0"/>
  </x:cellStyles>
  <x:dxfs count="17">
    <x:dxf>
      <x:font>
        <x:b/>
      </x:font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ont>
        <x:b/>
      </x:font>
      <x:fill>
        <x:patternFill>
          <x:bgColor rgb="FFF87171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ont>
        <x:b/>
      </x:font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ont>
        <x:b/>
      </x:font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ont>
        <x:b/>
      </x:font>
      <x:fill>
        <x:patternFill>
          <x:bgColor rgb="FFDCFCE7"/>
        </x:patternFill>
      </x:fill>
    </x:dxf>
    <x:dxf>
      <x:font>
        <x:b/>
      </x:font>
      <x:fill>
        <x:patternFill>
          <x:bgColor rgb="FFDCFCE7"/>
        </x:patternFill>
      </x:fill>
    </x:dxf>
    <x:dxf>
      <x:font>
        <x:b/>
      </x:font>
      <x:fill>
        <x:patternFill>
          <x:bgColor rgb="FFDCFCE7"/>
        </x:patternFill>
      </x:fill>
    </x:dxf>
    <x:dxf>
      <x:font>
        <x:b/>
      </x:font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771dc3dffc4349" /><Relationship Type="http://schemas.openxmlformats.org/officeDocument/2006/relationships/theme" Target="/xl/theme/theme1.xml" Id="R888f4f1495984032" /><Relationship Type="http://schemas.microsoft.com/office/2022/11/relationships/FeaturePropertyBag" Target="/xl/featurePropertyBag/featurePropertyBag.xml" Id="Re382058f65634736" /><Relationship Type="http://schemas.openxmlformats.org/officeDocument/2006/relationships/sharedStrings" Target="/xl/sharedStrings.xml" Id="R19826cf191084b4c" /><Relationship Type="http://schemas.openxmlformats.org/officeDocument/2006/relationships/worksheet" Target="/xl/worksheets/sheet1.xml" Id="Raa18ea736e6a4801" /><Relationship Type="http://schemas.openxmlformats.org/officeDocument/2006/relationships/worksheet" Target="/xl/worksheets/sheet2.xml" Id="Rdab51967a091478b" /><Relationship Type="http://schemas.openxmlformats.org/officeDocument/2006/relationships/worksheet" Target="/xl/worksheets/sheet3.xml" Id="R19928c2327d64fcd" /><Relationship Type="http://schemas.openxmlformats.org/officeDocument/2006/relationships/worksheet" Target="/xl/worksheets/sheet4.xml" Id="R719ff77814b2442a" /><Relationship Type="http://schemas.openxmlformats.org/officeDocument/2006/relationships/worksheet" Target="/xl/worksheets/sheet5.xml" Id="R3c1087b470d14f32" /><Relationship Type="http://schemas.openxmlformats.org/officeDocument/2006/relationships/worksheet" Target="/xl/worksheets/sheet6.xml" Id="R54203c2ed59f41ca" /><Relationship Type="http://schemas.openxmlformats.org/officeDocument/2006/relationships/worksheet" Target="/xl/worksheets/sheet7.xml" Id="R9bdf972a670944fe" /><Relationship Type="http://schemas.openxmlformats.org/officeDocument/2006/relationships/worksheet" Target="/xl/worksheets/sheet8.xml" Id="R0eb5650021ff472d" /><Relationship Type="http://schemas.openxmlformats.org/officeDocument/2006/relationships/worksheet" Target="/xl/worksheets/sheet9.xml" Id="R79c571a46fbc46f0" /><Relationship Type="http://schemas.openxmlformats.org/officeDocument/2006/relationships/worksheet" Target="/xl/worksheets/sheet10.xml" Id="Ra2ffede501ef4c39" /><Relationship Type="http://schemas.openxmlformats.org/officeDocument/2006/relationships/worksheet" Target="/xl/worksheets/sheet11.xml" Id="R1cebd9e603544185" /><Relationship Type="http://schemas.openxmlformats.org/officeDocument/2006/relationships/worksheet" Target="/xl/worksheets/sheet12.xml" Id="R8ee1b3b31cae4f9b" /><Relationship Type="http://schemas.openxmlformats.org/officeDocument/2006/relationships/worksheet" Target="/xl/worksheets/sheet13.xml" Id="R6b6e1fae60e0440a" /><Relationship Type="http://schemas.openxmlformats.org/officeDocument/2006/relationships/worksheet" Target="/xl/worksheets/sheet14.xml" Id="R9c7b48afe8c94b71" /><Relationship Type="http://schemas.openxmlformats.org/officeDocument/2006/relationships/worksheet" Target="/xl/worksheets/sheet15.xml" Id="Rd6c1daed8d9f4450" /><Relationship Type="http://schemas.openxmlformats.org/officeDocument/2006/relationships/worksheet" Target="/xl/worksheets/sheet16.xml" Id="R836762e83b59456d" /><Relationship Type="http://schemas.openxmlformats.org/officeDocument/2006/relationships/worksheet" Target="/xl/worksheets/sheet17.xml" Id="R014c95d3054e41b8" /><Relationship Type="http://schemas.openxmlformats.org/officeDocument/2006/relationships/worksheet" Target="/xl/worksheets/sheet18.xml" Id="R9757ef4ed0fa4e9b" /><Relationship Type="http://schemas.openxmlformats.org/officeDocument/2006/relationships/worksheet" Target="/xl/worksheets/sheet19.xml" Id="R0b42b9f16c694c2a" /><Relationship Type="http://schemas.openxmlformats.org/officeDocument/2006/relationships/worksheet" Target="/xl/worksheets/sheet20.xml" Id="R58c10a932e5e4c79" /><Relationship Type="http://schemas.openxmlformats.org/officeDocument/2006/relationships/worksheet" Target="/xl/worksheets/sheet21.xml" Id="Red287e53b0d1419b" /><Relationship Type="http://schemas.openxmlformats.org/officeDocument/2006/relationships/worksheet" Target="/xl/worksheets/sheet22.xml" Id="R4be05d0504fd4f0c" /><Relationship Type="http://schemas.openxmlformats.org/officeDocument/2006/relationships/worksheet" Target="/xl/worksheets/sheet23.xml" Id="Rfc9095b4a2924825" /><Relationship Type="http://schemas.openxmlformats.org/officeDocument/2006/relationships/worksheet" Target="/xl/worksheets/sheet24.xml" Id="R8485d3c629924352" /><Relationship Type="http://schemas.openxmlformats.org/officeDocument/2006/relationships/worksheet" Target="/xl/worksheets/sheet25.xml" Id="R87be1fcec2d74b8b" /><Relationship Type="http://schemas.openxmlformats.org/officeDocument/2006/relationships/worksheet" Target="/xl/worksheets/sheet26.xml" Id="Ra586a7a437dd4f3b" /><Relationship Type="http://schemas.openxmlformats.org/officeDocument/2006/relationships/worksheet" Target="/xl/worksheets/sheet27.xml" Id="Re92520b63cb24698" /><Relationship Type="http://schemas.openxmlformats.org/officeDocument/2006/relationships/worksheet" Target="/xl/worksheets/sheet28.xml" Id="Ra37fd72021e34dee" /><Relationship Type="http://schemas.openxmlformats.org/officeDocument/2006/relationships/worksheet" Target="/xl/worksheets/sheet29.xml" Id="R6e0b7543a96f4db9" /><Relationship Type="http://schemas.openxmlformats.org/officeDocument/2006/relationships/worksheet" Target="/xl/worksheets/sheet30.xml" Id="Rfd8c2197ecf64d94" /><Relationship Type="http://schemas.openxmlformats.org/officeDocument/2006/relationships/worksheet" Target="/xl/worksheets/sheet31.xml" Id="Rece8e456581d4334" /><Relationship Type="http://schemas.openxmlformats.org/officeDocument/2006/relationships/worksheet" Target="/xl/worksheets/sheet32.xml" Id="R9f001424a3ae46f6" /><Relationship Type="http://schemas.openxmlformats.org/officeDocument/2006/relationships/worksheet" Target="/xl/worksheets/sheet33.xml" Id="R2aa81ca1832144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4" hidden="0" customWidth="1"/>
  </x:cols>
  <x:sheetData>
    <x:row r="1">
      <x:c r="A1" s="4" t="str">
        <x:v>Freelance Opportunity Research System v1.11 — Workbook View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Field</x:v>
      </x:c>
      <x:c r="B3" s="12" t="str">
        <x:v>Value</x:v>
      </x:c>
    </x:row>
    <x:row r="4">
      <x:c r="A4" s="18" t="str">
        <x:v>System version</x:v>
      </x:c>
      <x:c r="B4" s="18" t="str">
        <x:v>1.11.0</x:v>
      </x:c>
    </x:row>
    <x:row r="5">
      <x:c r="A5" s="18" t="str">
        <x:v>Role</x:v>
      </x:c>
      <x:c r="B5" s="18" t="str">
        <x:v>Human-editable view over canonical JSON/runtime ledgers.</x:v>
      </x:c>
    </x:row>
    <x:row r="6">
      <x:c r="A6" s="18" t="str">
        <x:v>Config precedence</x:v>
      </x:c>
      <x:c r="B6" s="18" t="str">
        <x:v>Task Manifest override → PROJECT_CONFIG.json → SYSTEM_DEFAULTS.json</x:v>
      </x:c>
    </x:row>
    <x:row r="7">
      <x:c r="A7" s="18" t="str">
        <x:v>Hard invariant</x:v>
      </x:c>
      <x:c r="B7" s="18" t="str">
        <x:v>not seen in a run != closed</x:v>
      </x:c>
    </x:row>
    <x:row r="8">
      <x:c r="A8" s="18" t="str">
        <x:v>Temporal model</x:v>
      </x:c>
      <x:c r="B8" s="18" t="str">
        <x:v>Daily Run → Observation → Daily Diff → Change Event</x:v>
      </x:c>
    </x:row>
    <x:row r="9">
      <x:c r="A9" s="18" t="str">
        <x:v>Source model</x:v>
      </x:c>
      <x:c r="B9" s="18" t="str">
        <x:v>category ≠ role ≠ priority; task priority may override general priority</x:v>
      </x:c>
    </x:row>
    <x:row r="10">
      <x:c r="A10" s="18" t="str">
        <x:v>Method model</x:v>
      </x:c>
      <x:c r="B10" s="18" t="str">
        <x:v>methods are versioned; trends require compatible method/scope</x:v>
      </x:c>
    </x:row>
    <x:row r="11">
      <x:c r="A11" s="18" t="str">
        <x:v>History</x:v>
      </x:c>
      <x:c r="B11" s="18" t="str">
        <x:v>observations/diffs/change events are append-only</x:v>
      </x:c>
    </x:row>
    <x:row r="12">
      <x:c r="A12" s="18" t="str">
        <x:v>Testing</x:v>
      </x:c>
      <x:c r="B12" s="18" t="str">
        <x:v>hermetic + frozen clock + semantic + idempotency + mutation/metamorphic tests</x:v>
      </x:c>
    </x:row>
    <x:row r="13">
      <x:c r="A13" s="18" t="str">
        <x:v>Clean-chat start</x:v>
      </x:c>
      <x:c r="B13" s="18" t="str">
        <x:v>Read START_HERE_AGENT.md → ProjectIndex → State/RunState → checkpoint → Task Manifest</x:v>
      </x:c>
    </x:row>
    <x:row r="14">
      <x:c r="A14" s="18" t="str">
        <x:v>Workbook rule</x:v>
      </x:c>
      <x:c r="B14" s="18" t="str">
        <x:v>Do not treat sheet formatting/order as public runtime semantics.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4" max="4" width="22" hidden="0" customWidth="1"/>
    <x:col min="5" max="5" width="32" hidden="0" customWidth="1"/>
    <x:col min="7" max="7" width="28" hidden="0" customWidth="1"/>
    <x:col min="8" max="8" width="22" hidden="0" customWidth="1"/>
    <x:col min="10" max="10" width="28" hidden="0" customWidth="1"/>
    <x:col min="11" max="11" width="34" hidden="0" customWidth="1"/>
    <x:col min="13" max="13" width="32" hidden="0" customWidth="1"/>
    <x:col min="14" max="14" width="32" hidden="0" customWidth="1"/>
    <x:col min="16" max="16" width="28" hidden="0" customWidth="1"/>
    <x:col min="17" max="17" width="28" hidden="0" customWidth="1"/>
  </x:cols>
  <x:sheetData>
    <x:row r="1">
      <x:c r="A1" s="4" t="str">
        <x:v>Research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3">
      <x:c r="A3" s="12" t="str">
        <x:v>Research KPI</x:v>
      </x:c>
      <x:c r="B3" s="12" t="str">
        <x:v>Value</x:v>
      </x:c>
      <x:c r="D3" s="12" t="str">
        <x:v>Runtime</x:v>
      </x:c>
      <x:c r="E3" s="12" t="str">
        <x:v>Value</x:v>
      </x:c>
      <x:c r="G3" s="12" t="str">
        <x:v>Temporal KPI</x:v>
      </x:c>
      <x:c r="H3" s="12" t="str">
        <x:v>Value</x:v>
      </x:c>
      <x:c r="J3" s="67" t="str">
        <x:v>Use-case architecture</x:v>
      </x:c>
      <x:c r="K3" s="67" t="str">
        <x:v>Value</x:v>
      </x:c>
      <x:c r="M3" s="75" t="str">
        <x:v>Golden Paths</x:v>
      </x:c>
      <x:c r="N3" s="75" t="str">
        <x:v>Value</x:v>
      </x:c>
      <x:c r="P3" s="89" t="str">
        <x:v>Phase 2</x:v>
      </x:c>
      <x:c r="Q3" s="89" t="str">
        <x:v>Value</x:v>
      </x:c>
    </x:row>
    <x:row r="4">
      <x:c r="A4" t="str">
        <x:v>Raw tasks</x:v>
      </x:c>
      <x:c r="B4" t="n">
        <x:f>COUNTIF(RawTasks!A2:A500,"?*")</x:f>
        <x:v>0</x:v>
      </x:c>
      <x:c r="D4" t="str">
        <x:v>Project version</x:v>
      </x:c>
      <x:c r="E4" t="str">
        <x:v>v0.1</x:v>
      </x:c>
      <x:c r="G4" t="str">
        <x:v>Daily runs</x:v>
      </x:c>
      <x:c r="H4" t="n">
        <x:f>COUNTIF(DailyRuns!A2:A500,"?*")</x:f>
        <x:v>0</x:v>
      </x:c>
      <x:c r="J4" s="18" t="str">
        <x:v>Registry version</x:v>
      </x:c>
      <x:c r="K4" s="18" t="str">
        <x:v>2.0.0</x:v>
      </x:c>
      <x:c r="M4" s="18" t="str">
        <x:v>Registry version</x:v>
      </x:c>
      <x:c r="N4" s="18" t="str">
        <x:v>1.0.0</x:v>
      </x:c>
      <x:c r="P4" s="18" t="str">
        <x:v>Status</x:v>
      </x:c>
      <x:c r="Q4" s="18" t="str">
        <x:v>ACCEPTED</x:v>
      </x:c>
    </x:row>
    <x:row r="5">
      <x:c r="A5" t="str">
        <x:v>Claims</x:v>
      </x:c>
      <x:c r="B5" t="n">
        <x:f>COUNTIF(ClaimLedger!A2:A500,"?*")</x:f>
        <x:v>0</x:v>
      </x:c>
      <x:c r="D5" t="str">
        <x:v>Status</x:v>
      </x:c>
      <x:c r="E5" t="str">
        <x:v>initialized</x:v>
      </x:c>
      <x:c r="G5" t="str">
        <x:v>Complete runs</x:v>
      </x:c>
      <x:c r="H5" t="n">
        <x:f>COUNTIF(DailyRuns!L2:L500,"complete")</x:f>
        <x:v>0</x:v>
      </x:c>
      <x:c r="J5" s="18" t="str">
        <x:v>Registered use cases</x:v>
      </x:c>
      <x:c r="K5" s="18" t="n">
        <x:v>20</x:v>
      </x:c>
      <x:c r="M5" s="18" t="str">
        <x:v>Release paths</x:v>
      </x:c>
      <x:c r="N5" s="18" t="n">
        <x:v>6</x:v>
      </x:c>
      <x:c r="P5" s="18" t="str">
        <x:v>Implemented UCs</x:v>
      </x:c>
      <x:c r="Q5" s="18" t="n">
        <x:v>25</x:v>
      </x:c>
    </x:row>
    <x:row r="6">
      <x:c r="A6" t="str">
        <x:v>Measurements</x:v>
      </x:c>
      <x:c r="B6" t="n">
        <x:f>COUNTIF(Measurements!A2:A500,"?*")</x:f>
        <x:v>0</x:v>
      </x:c>
      <x:c r="D6" t="str">
        <x:v>Next task</x:v>
      </x:c>
      <x:c r="E6" t="str">
        <x:v>M01</x:v>
      </x:c>
      <x:c r="G6" t="str">
        <x:v>Observations</x:v>
      </x:c>
      <x:c r="H6" t="n">
        <x:f>COUNTIF(ObservationLedger!A2:A500,"?*")</x:f>
        <x:v>0</x:v>
      </x:c>
      <x:c r="J6" s="18" t="str">
        <x:v>Use-case kinds</x:v>
      </x:c>
      <x:c r="K6" s="18" t="n">
        <x:v>4</x:v>
      </x:c>
      <x:c r="M6" s="18" t="str">
        <x:v>Mode</x:v>
      </x:c>
      <x:c r="N6" s="18" t="str">
        <x:v>hermetic</x:v>
      </x:c>
      <x:c r="P6" s="18" t="str">
        <x:v>Groups</x:v>
      </x:c>
      <x:c r="Q6" s="18" t="n">
        <x:v>6</x:v>
      </x:c>
    </x:row>
    <x:row r="7">
      <x:c r="A7" t="str">
        <x:v>Registered sources</x:v>
      </x:c>
      <x:c r="B7" t="n">
        <x:f>COUNTIF(SourceRegistry!A2:A500,"?*")</x:f>
        <x:v>0</x:v>
      </x:c>
      <x:c r="D7" t="str">
        <x:v>Active task</x:v>
      </x:c>
      <x:c r="E7" t="str"/>
      <x:c r="G7" t="str">
        <x:v>Entities</x:v>
      </x:c>
      <x:c r="H7" t="n">
        <x:f>COUNTIF(EntityRegistry!A2:A500,"?*")</x:f>
        <x:v>0</x:v>
      </x:c>
      <x:c r="J7" s="18" t="str">
        <x:v>Boundary rules</x:v>
      </x:c>
      <x:c r="K7" s="18" t="n">
        <x:v>8</x:v>
      </x:c>
      <x:c r="M7" s="18" t="str">
        <x:v>Runner</x:v>
      </x:c>
      <x:c r="N7" s="18" t="str">
        <x:v>TOOLS/run_golden_paths.py</x:v>
      </x:c>
      <x:c r="P7" s="18" t="str">
        <x:v>Query UCs</x:v>
      </x:c>
      <x:c r="Q7" s="18" t="n">
        <x:v>5</x:v>
      </x:c>
    </x:row>
    <x:row r="8">
      <x:c r="A8" t="str">
        <x:v>Task routes</x:v>
      </x:c>
      <x:c r="B8" t="n">
        <x:f>COUNTIF(SourceUsePlan!A2:A500,"?*")</x:f>
        <x:v>0</x:v>
      </x:c>
      <x:c r="D8" t="str">
        <x:v>Active daily run</x:v>
      </x:c>
      <x:c r="E8" t="str"/>
      <x:c r="G8" t="str">
        <x:v>Daily diffs</x:v>
      </x:c>
      <x:c r="H8" t="n">
        <x:f>COUNTIF(DailyDiffs!A2:A500,"?*")</x:f>
        <x:v>0</x:v>
      </x:c>
      <x:c r="J8" t="str">
        <x:v>Canonical router</x:v>
      </x:c>
      <x:c r="K8" t="str">
        <x:v>CORE/USE_CASE_REGISTRY.json</x:v>
      </x:c>
      <x:c r="M8" s="18" t="str">
        <x:v>Canonical</x:v>
      </x:c>
      <x:c r="N8" s="18" t="str">
        <x:v>CORE/GOLDEN_PATH_REGISTRY.json</x:v>
      </x:c>
      <x:c r="P8" s="18" t="str">
        <x:v>Result contracts</x:v>
      </x:c>
      <x:c r="Q8" s="18" t="n">
        <x:v>5</x:v>
      </x:c>
    </x:row>
    <x:row r="9">
      <x:c r="A9" t="str">
        <x:v>Methods</x:v>
      </x:c>
      <x:c r="B9" t="n">
        <x:f>COUNTIF(MethodRegistry!A2:A500,"?*")</x:f>
        <x:v>0</x:v>
      </x:c>
      <x:c r="D9" t="str">
        <x:v>Research timezone</x:v>
      </x:c>
      <x:c r="E9" t="str">
        <x:v>UTC</x:v>
      </x:c>
      <x:c r="G9" t="str">
        <x:v>Confirmed closes</x:v>
      </x:c>
      <x:c r="H9" t="n">
        <x:f>SUM(DailyDiffs!H2:H500)</x:f>
        <x:v>0</x:v>
      </x:c>
      <x:c r="J9" t="str">
        <x:v>Routing metadata copies</x:v>
      </x:c>
      <x:c r="K9" t="n">
        <x:v>0</x:v>
      </x:c>
      <x:c r="P9" s="18" t="str">
        <x:v>Projection backend</x:v>
      </x:c>
      <x:c r="Q9" s="18" t="str">
        <x:v>Phase 3 planned</x:v>
      </x:c>
    </x:row>
    <x:row r="10">
      <x:c r="A10" t="str">
        <x:v>Dependency edges</x:v>
      </x:c>
      <x:c r="B10" t="n">
        <x:f>COUNTIF(DependencyGraph!A2:A500,"?*")</x:f>
        <x:v>0</x:v>
      </x:c>
      <x:c r="G10" t="str">
        <x:v>Not-seen events</x:v>
      </x:c>
      <x:c r="H10" t="n">
        <x:f>SUM(DailyDiffs!J2:J500)</x:f>
        <x:v>0</x:v>
      </x:c>
      <x:c r="P10" s="18" t="str">
        <x:v>System map</x:v>
      </x:c>
      <x:c r="Q10" s="18" t="str">
        <x:v>REFERENCE/SYSTEM_MAP.md</x:v>
      </x:c>
    </x:row>
    <x:row r="11">
      <x:c r="G11" t="str">
        <x:v>Interesting items</x:v>
      </x:c>
      <x:c r="H11" t="str">
        <x:v>see LEDGER/INTERESTING_ITEMS.jsonl</x:v>
      </x:c>
    </x:row>
  </x:sheetData>
  <x:mergeCells>
    <x:mergeCell ref="A1:T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34" hidden="0" customWidth="1"/>
    <x:col min="4" max="4" width="48" hidden="0" customWidth="1"/>
  </x:cols>
  <x:sheetData>
    <x:row r="1">
      <x:c r="A1" s="4" t="str">
        <x:v>Project State Mirror</x:v>
      </x:c>
      <x:c r="B1" s="4"/>
      <x:c r="C1" s="4"/>
      <x:c r="D1" s="4"/>
    </x:row>
    <x:row r="3">
      <x:c r="A3" s="12" t="str">
        <x:v>Field</x:v>
      </x:c>
      <x:c r="B3" s="12" t="str">
        <x:v>Value</x:v>
      </x:c>
      <x:c r="C3" s="12" t="str">
        <x:v>Canonical source</x:v>
      </x:c>
      <x:c r="D3" s="12" t="str">
        <x:v>Notes</x:v>
      </x:c>
    </x:row>
    <x:row r="4">
      <x:c r="A4" s="18" t="str">
        <x:v>system_version</x:v>
      </x:c>
      <x:c r="B4" s="18" t="str">
        <x:v>1.11.0</x:v>
      </x:c>
      <x:c r="C4" s="18" t="str">
        <x:v>VERSION.json</x:v>
      </x:c>
      <x:c r="D4" s="18" t="str"/>
    </x:row>
    <x:row r="5">
      <x:c r="A5" s="18" t="str">
        <x:v>project_version</x:v>
      </x:c>
      <x:c r="B5" s="18" t="str">
        <x:v>v0.1</x:v>
      </x:c>
      <x:c r="C5" s="18" t="str">
        <x:v>STATE.json</x:v>
      </x:c>
      <x:c r="D5" s="18" t="str"/>
    </x:row>
    <x:row r="6">
      <x:c r="A6" s="18" t="str">
        <x:v>status</x:v>
      </x:c>
      <x:c r="B6" s="18" t="str">
        <x:v>initialized</x:v>
      </x:c>
      <x:c r="C6" s="18" t="str">
        <x:v>STATE.json</x:v>
      </x:c>
      <x:c r="D6" s="18" t="str"/>
    </x:row>
    <x:row r="7">
      <x:c r="A7" s="18" t="str">
        <x:v>decision_question</x:v>
      </x:c>
      <x:c r="B7" s="18" t="str"/>
      <x:c r="C7" s="18" t="str">
        <x:v>PROJECT_BRIEF.md</x:v>
      </x:c>
      <x:c r="D7" s="18" t="str"/>
    </x:row>
    <x:row r="8">
      <x:c r="A8" s="18" t="str">
        <x:v>completed_tasks</x:v>
      </x:c>
      <x:c r="B8" s="18" t="str"/>
      <x:c r="C8" s="18" t="str">
        <x:v>STATE.json</x:v>
      </x:c>
      <x:c r="D8" s="18" t="str"/>
    </x:row>
    <x:row r="9">
      <x:c r="A9" s="18" t="str">
        <x:v>next_task</x:v>
      </x:c>
      <x:c r="B9" s="18" t="str">
        <x:v>M01</x:v>
      </x:c>
      <x:c r="C9" s="18" t="str">
        <x:v>RUN_STATE.json / STATE.json</x:v>
      </x:c>
      <x:c r="D9" s="18" t="str">
        <x:v>one exact next task</x:v>
      </x:c>
    </x:row>
    <x:row r="10">
      <x:c r="A10" s="18" t="str">
        <x:v>active_daily_run</x:v>
      </x:c>
      <x:c r="B10" s="18" t="str"/>
      <x:c r="C10" s="18" t="str">
        <x:v>RUN_STATE.json</x:v>
      </x:c>
      <x:c r="D10" s="18" t="str"/>
    </x:row>
    <x:row r="11">
      <x:c r="A11" s="18" t="str">
        <x:v>research_timezone</x:v>
      </x:c>
      <x:c r="B11" s="18" t="str">
        <x:v>UTC</x:v>
      </x:c>
      <x:c r="C11" s="18" t="str">
        <x:v>PROJECT_CONFIG.json</x:v>
      </x:c>
      <x:c r="D11" s="18" t="str"/>
    </x:row>
    <x:row r="12">
      <x:c r="A12" s="18" t="str">
        <x:v>last_checkpoint</x:v>
      </x:c>
      <x:c r="B12" s="18" t="str"/>
      <x:c r="C12" s="18" t="str">
        <x:v>HANDOFF.json</x:v>
      </x:c>
      <x:c r="D12" s="18" t="str"/>
    </x:row>
    <x:row r="13">
      <x:c r="A13" s="18" t="str">
        <x:v>known_issues</x:v>
      </x:c>
      <x:c r="B13" s="18" t="str"/>
      <x:c r="C13" s="18" t="str">
        <x:v>STATE.json</x:v>
      </x:c>
      <x:c r="D13" s="18" t="str"/>
    </x:row>
    <x:row r="14">
      <x:c r="A14" s="18" t="str">
        <x:v>notes</x:v>
      </x:c>
      <x:c r="B14" s="18" t="str"/>
      <x:c r="C14" s="18" t="str"/>
      <x:c r="D14" s="18" t="str"/>
    </x:row>
    <x:row r="15">
      <x:c r="A15" s="18" t="str">
        <x:v>next_use_case_id</x:v>
      </x:c>
      <x:c r="B15" s="18" t="str">
        <x:v>UC01</x:v>
      </x:c>
      <x:c r="C15" s="18" t="str">
        <x:v>RUN_STATE.json / STATE.json</x:v>
      </x:c>
      <x:c r="D15" s="18" t="str">
        <x:v>top-level route</x:v>
      </x:c>
    </x:row>
    <x:row r="16">
      <x:c r="A16" s="18" t="str">
        <x:v>use_case_registry</x:v>
      </x:c>
      <x:c r="B16" s="18" t="str">
        <x:v>CORE/USE_CASE_REGISTRY.json</x:v>
      </x:c>
      <x:c r="C16" s="18" t="str">
        <x:v>system contract</x:v>
      </x:c>
      <x:c r="D16" s="18" t="str">
        <x:v>canonical action router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40" hidden="0" customWidth="1"/>
    <x:col min="4" max="4" width="32" hidden="0" customWidth="1"/>
    <x:col min="5" max="5" width="32" hidden="0" customWidth="1"/>
    <x:col min="6" max="6" width="30" hidden="0" customWidth="1"/>
    <x:col min="7" max="7" width="38" hidden="0" customWidth="1"/>
    <x:col min="8" max="8" width="16" hidden="0" customWidth="1"/>
    <x:col min="9" max="9" width="18" hidden="0" customWidth="1"/>
  </x:cols>
  <x:sheetData>
    <x:row r="1">
      <x:c r="A1" s="4" t="str">
        <x:v>Atomic / Delta Plan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ID</x:v>
      </x:c>
      <x:c r="B3" s="12" t="str">
        <x:v>Stage</x:v>
      </x:c>
      <x:c r="C3" s="12" t="str">
        <x:v>One question</x:v>
      </x:c>
      <x:c r="D3" s="12" t="str">
        <x:v>Allowed inputs</x:v>
      </x:c>
      <x:c r="E3" s="12" t="str">
        <x:v>Forbidden</x:v>
      </x:c>
      <x:c r="F3" s="12" t="str">
        <x:v>Output</x:v>
      </x:c>
      <x:c r="G3" s="12" t="str">
        <x:v>Completion condition</x:v>
      </x:c>
      <x:c r="H3" s="12" t="str">
        <x:v>Status</x:v>
      </x:c>
      <x:c r="I3" s="12" t="str">
        <x:v>Next</x:v>
      </x:c>
    </x:row>
    <x:row r="4">
      <x:c r="A4" s="18" t="str">
        <x:v>M01</x:v>
      </x:c>
      <x:c r="B4" s="18" t="str">
        <x:v>Define</x:v>
      </x:c>
      <x:c r="C4" s="18" t="str">
        <x:v>What is one service unit?</x:v>
      </x:c>
      <x:c r="D4" s="18" t="str">
        <x:v>scope/examples</x:v>
      </x:c>
      <x:c r="E4" s="18" t="str">
        <x:v>market ranking</x:v>
      </x:c>
      <x:c r="F4" s="18" t="str">
        <x:v>split/merge rules</x:v>
      </x:c>
      <x:c r="G4" s="18" t="str">
        <x:v>boundary cases stable</x:v>
      </x:c>
      <x:c r="H4" s="18" t="str">
        <x:v>Not started</x:v>
      </x:c>
      <x:c r="I4" s="18" t="str">
        <x:v>M02</x:v>
      </x:c>
    </x:row>
    <x:row r="5">
      <x:c r="A5" s="18" t="str">
        <x:v>D01</x:v>
      </x:c>
      <x:c r="B5" s="18" t="str">
        <x:v>Discover</x:v>
      </x:c>
      <x:c r="C5" s="18" t="str">
        <x:v>What channels/sources exist?</x:v>
      </x:c>
      <x:c r="D5" s="18" t="str">
        <x:v>discovery sources</x:v>
      </x:c>
      <x:c r="E5" s="18" t="str">
        <x:v>effectiveness claims</x:v>
      </x:c>
      <x:c r="F5" s="18" t="str">
        <x:v>candidate registry</x:v>
      </x:c>
      <x:c r="G5" s="18" t="str">
        <x:v>saturation</x:v>
      </x:c>
      <x:c r="H5" s="18" t="str">
        <x:v>Template</x:v>
      </x:c>
      <x:c r="I5" s="18" t="str">
        <x:v>V01</x:v>
      </x:c>
    </x:row>
    <x:row r="6">
      <x:c r="A6" s="18" t="str">
        <x:v>V01-[x]</x:v>
      </x:c>
      <x:c r="B6" s="18" t="str">
        <x:v>Verify</x:v>
      </x:c>
      <x:c r="C6" s="18" t="str">
        <x:v>How does one channel/source work?</x:v>
      </x:c>
      <x:c r="D6" s="18" t="str">
        <x:v>official sources</x:v>
      </x:c>
      <x:c r="E6" s="18" t="str">
        <x:v>practitioner ranking</x:v>
      </x:c>
      <x:c r="F6" s="18" t="str">
        <x:v>mechanics card</x:v>
      </x:c>
      <x:c r="G6" s="18" t="str">
        <x:v>fields verified</x:v>
      </x:c>
      <x:c r="H6" s="18" t="str">
        <x:v>Template</x:v>
      </x:c>
      <x:c r="I6" s="18" t="str">
        <x:v>V02</x:v>
      </x:c>
    </x:row>
    <x:row r="7">
      <x:c r="A7" s="18" t="str">
        <x:v>T01-[x]</x:v>
      </x:c>
      <x:c r="B7" s="18" t="str">
        <x:v>Observe</x:v>
      </x:c>
      <x:c r="C7" s="18" t="str">
        <x:v>What paid tasks/deliverables appear?</x:v>
      </x:c>
      <x:c r="D7" s="18" t="str">
        <x:v>live observations</x:v>
      </x:c>
      <x:c r="E7" s="18" t="str">
        <x:v>budget/competition mixing</x:v>
      </x:c>
      <x:c r="F7" s="18" t="str">
        <x:v>raw tasks</x:v>
      </x:c>
      <x:c r="G7" s="18" t="str">
        <x:v>sample rule met</x:v>
      </x:c>
      <x:c r="H7" s="18" t="str">
        <x:v>Template</x:v>
      </x:c>
      <x:c r="I7" s="18" t="str">
        <x:v>T02</x:v>
      </x:c>
    </x:row>
    <x:row r="8">
      <x:c r="A8" s="18" t="str">
        <x:v>S01-[u]</x:v>
      </x:c>
      <x:c r="B8" s="18" t="str">
        <x:v>Measure</x:v>
      </x:c>
      <x:c r="C8" s="18" t="str">
        <x:v>How frequent is one service unit?</x:v>
      </x:c>
      <x:c r="D8" s="18" t="str">
        <x:v>fixed-window comparable sample</x:v>
      </x:c>
      <x:c r="E8" s="18" t="str">
        <x:v>budget</x:v>
      </x:c>
      <x:c r="F8" s="18" t="str">
        <x:v>frequency snapshot</x:v>
      </x:c>
      <x:c r="G8" s="18" t="str">
        <x:v>window covered</x:v>
      </x:c>
      <x:c r="H8" s="18" t="str">
        <x:v>Template</x:v>
      </x:c>
      <x:c r="I8" s="18" t="str">
        <x:v>S02</x:v>
      </x:c>
    </x:row>
    <x:row r="9">
      <x:c r="A9" s="18" t="str">
        <x:v>S02-[u]</x:v>
      </x:c>
      <x:c r="B9" s="18" t="str">
        <x:v>Measure</x:v>
      </x:c>
      <x:c r="C9" s="18" t="str">
        <x:v>What is payout distribution?</x:v>
      </x:c>
      <x:c r="D9" s="18" t="str">
        <x:v>eligible observations</x:v>
      </x:c>
      <x:c r="E9" s="18" t="str">
        <x:v>competition</x:v>
      </x:c>
      <x:c r="F9" s="18" t="str">
        <x:v>distribution</x:v>
      </x:c>
      <x:c r="G9" s="18" t="str">
        <x:v>sample declared</x:v>
      </x:c>
      <x:c r="H9" s="18" t="str">
        <x:v>Template</x:v>
      </x:c>
      <x:c r="I9" s="18" t="str">
        <x:v>S03</x:v>
      </x:c>
    </x:row>
    <x:row r="10">
      <x:c r="A10" s="18" t="str">
        <x:v>S03-[u]</x:v>
      </x:c>
      <x:c r="B10" s="18" t="str">
        <x:v>Measure</x:v>
      </x:c>
      <x:c r="C10" s="18" t="str">
        <x:v>What competition proxy is observable?</x:v>
      </x:c>
      <x:c r="D10" s="18" t="str">
        <x:v>platform evidence</x:v>
      </x:c>
      <x:c r="E10" s="18" t="str">
        <x:v>overall verdict</x:v>
      </x:c>
      <x:c r="F10" s="18" t="str">
        <x:v>proxy distribution</x:v>
      </x:c>
      <x:c r="G10" s="18" t="str">
        <x:v>limits stated</x:v>
      </x:c>
      <x:c r="H10" s="18" t="str">
        <x:v>Template</x:v>
      </x:c>
      <x:c r="I10" s="18" t="str">
        <x:v>S04</x:v>
      </x:c>
    </x:row>
    <x:row r="11">
      <x:c r="A11" s="18" t="str">
        <x:v>S04-[u]</x:v>
      </x:c>
      <x:c r="B11" s="18" t="str">
        <x:v>Measure</x:v>
      </x:c>
      <x:c r="C11" s="18" t="str">
        <x:v>What requirements repeat?</x:v>
      </x:c>
      <x:c r="D11" s="18" t="str">
        <x:v>job posts</x:v>
      </x:c>
      <x:c r="E11" s="18" t="str">
        <x:v>profitability</x:v>
      </x:c>
      <x:c r="F11" s="18" t="str">
        <x:v>requirement frequencies</x:v>
      </x:c>
      <x:c r="G11" s="18" t="str">
        <x:v>fields coded</x:v>
      </x:c>
      <x:c r="H11" s="18" t="str">
        <x:v>Template</x:v>
      </x:c>
      <x:c r="I11" s="18" t="str">
        <x:v>S05</x:v>
      </x:c>
    </x:row>
    <x:row r="12">
      <x:c r="A12" s="18" t="str">
        <x:v>S05-[u]</x:v>
      </x:c>
      <x:c r="B12" s="18" t="str">
        <x:v>Measure</x:v>
      </x:c>
      <x:c r="C12" s="18" t="str">
        <x:v>What payout/effort/cost inputs are observable?</x:v>
      </x:c>
      <x:c r="D12" s="18" t="str">
        <x:v>eligible observations</x:v>
      </x:c>
      <x:c r="E12" s="18" t="str">
        <x:v>invent missing time</x:v>
      </x:c>
      <x:c r="F12" s="18" t="str">
        <x:v>economics inputs</x:v>
      </x:c>
      <x:c r="G12" s="18" t="str">
        <x:v>observed/missing explicit</x:v>
      </x:c>
      <x:c r="H12" s="18" t="str">
        <x:v>Template</x:v>
      </x:c>
      <x:c r="I12" s="18" t="str">
        <x:v>C01</x:v>
      </x:c>
    </x:row>
    <x:row r="13">
      <x:c r="A13" s="18" t="str">
        <x:v>DAY01</x:v>
      </x:c>
      <x:c r="B13" s="18" t="str">
        <x:v>Temporal</x:v>
      </x:c>
      <x:c r="C13" s="18" t="str">
        <x:v>What exactly is being checked today?</x:v>
      </x:c>
      <x:c r="D13" s="18" t="str">
        <x:v>manifest/config</x:v>
      </x:c>
      <x:c r="E13" s="18" t="str">
        <x:v>market conclusion</x:v>
      </x:c>
      <x:c r="F13" s="18" t="str">
        <x:v>Daily Run</x:v>
      </x:c>
      <x:c r="G13" s="18" t="str">
        <x:v>method/scope/date fixed</x:v>
      </x:c>
      <x:c r="H13" s="18" t="str">
        <x:v>Template</x:v>
      </x:c>
      <x:c r="I13" s="18" t="str">
        <x:v>DAY02</x:v>
      </x:c>
    </x:row>
    <x:row r="14">
      <x:c r="A14" s="18" t="str">
        <x:v>DAY02</x:v>
      </x:c>
      <x:c r="B14" s="18" t="str">
        <x:v>Temporal</x:v>
      </x:c>
      <x:c r="C14" s="18" t="str">
        <x:v>What entities were observed?</x:v>
      </x:c>
      <x:c r="D14" s="18" t="str">
        <x:v>active run</x:v>
      </x:c>
      <x:c r="E14" s="18" t="str">
        <x:v>infer absence state</x:v>
      </x:c>
      <x:c r="F14" s="18" t="str">
        <x:v>observations</x:v>
      </x:c>
      <x:c r="G14" s="18" t="str">
        <x:v>idempotent/timestamped</x:v>
      </x:c>
      <x:c r="H14" s="18" t="str">
        <x:v>Template</x:v>
      </x:c>
      <x:c r="I14" s="18" t="str">
        <x:v>DAY03</x:v>
      </x:c>
    </x:row>
    <x:row r="15">
      <x:c r="A15" s="18" t="str">
        <x:v>DAY03</x:v>
      </x:c>
      <x:c r="B15" s="18" t="str">
        <x:v>Temporal</x:v>
      </x:c>
      <x:c r="C15" s="18" t="str">
        <x:v>What changed vs comparable run?</x:v>
      </x:c>
      <x:c r="D15" s="18" t="str">
        <x:v>finalized runs</x:v>
      </x:c>
      <x:c r="E15" s="18" t="str">
        <x:v>trend incompatible runs</x:v>
      </x:c>
      <x:c r="F15" s="18" t="str">
        <x:v>daily diff</x:v>
      </x:c>
      <x:c r="G15" s="18" t="str">
        <x:v>comparison gate applied</x:v>
      </x:c>
      <x:c r="H15" s="18" t="str">
        <x:v>Template</x:v>
      </x:c>
      <x:c r="I15" s="18" t="str">
        <x:v>DAY04</x:v>
      </x:c>
    </x:row>
    <x:row r="16">
      <x:c r="A16" s="18" t="str">
        <x:v>RT04</x:v>
      </x:c>
      <x:c r="B16" s="18" t="str">
        <x:v>Runtime</x:v>
      </x:c>
      <x:c r="C16" s="18" t="str">
        <x:v>Can clean chat continue?</x:v>
      </x:c>
      <x:c r="D16" s="18" t="str">
        <x:v>state + handoff</x:v>
      </x:c>
      <x:c r="E16" s="18" t="str">
        <x:v>hidden chat context</x:v>
      </x:c>
      <x:c r="F16" s="18" t="str">
        <x:v>checkpoint</x:v>
      </x:c>
      <x:c r="G16" s="18" t="str">
        <x:v>next task reproducible</x:v>
      </x:c>
      <x:c r="H16" s="18" t="str">
        <x:v>Template</x:v>
      </x:c>
      <x:c r="I16" s="18" t="str">
        <x:v>next</x:v>
      </x:c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12" t="str">
        <x:v>task_id</x:v>
      </x:c>
      <x:c r="B1" s="12" t="str">
        <x:v>collected_at</x:v>
      </x:c>
      <x:c r="C1" s="12" t="str">
        <x:v>platform</x:v>
      </x:c>
      <x:c r="D1" s="12" t="str">
        <x:v>source_url</x:v>
      </x:c>
      <x:c r="E1" s="12" t="str">
        <x:v>source_post_id</x:v>
      </x:c>
      <x:c r="F1" s="12" t="str">
        <x:v>posted_at</x:v>
      </x:c>
      <x:c r="G1" s="12" t="str">
        <x:v>title_raw</x:v>
      </x:c>
      <x:c r="H1" s="12" t="str">
        <x:v>brief_paraphrase</x:v>
      </x:c>
      <x:c r="I1" s="12" t="str">
        <x:v>area</x:v>
      </x:c>
      <x:c r="J1" s="12" t="str">
        <x:v>service_family</x:v>
      </x:c>
      <x:c r="K1" s="12" t="str">
        <x:v>service_unit</x:v>
      </x:c>
      <x:c r="L1" s="12" t="str">
        <x:v>classification_status</x:v>
      </x:c>
      <x:c r="M1" s="12" t="str">
        <x:v>sampling_status</x:v>
      </x:c>
      <x:c r="N1" s="12" t="str">
        <x:v>duplicate_status</x:v>
      </x:c>
      <x:c r="O1" s="12" t="str">
        <x:v>canonical_post_key</x:v>
      </x:c>
      <x:c r="P1" s="12" t="str">
        <x:v>client_function</x:v>
      </x:c>
      <x:c r="Q1" s="12" t="str">
        <x:v>client_industry</x:v>
      </x:c>
      <x:c r="R1" s="12" t="str">
        <x:v>engagement_pattern</x:v>
      </x:c>
      <x:c r="S1" s="12" t="str">
        <x:v>budget_basis</x:v>
      </x:c>
      <x:c r="T1" s="12" t="str">
        <x:v>budget_min</x:v>
      </x:c>
      <x:c r="U1" s="12" t="str">
        <x:v>budget_max</x:v>
      </x:c>
      <x:c r="V1" s="12" t="str">
        <x:v>currency</x:v>
      </x:c>
      <x:c r="W1" s="12" t="str">
        <x:v>competition_metric</x:v>
      </x:c>
      <x:c r="X1" s="12" t="str">
        <x:v>competition_value</x:v>
      </x:c>
      <x:c r="Y1" s="12" t="str">
        <x:v>requirements_raw</x:v>
      </x:c>
      <x:c r="Z1" s="12" t="str">
        <x:v>notes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</x:row>
  </x:sheetData>
  <x:dataValidations count="3">
    <x:dataValidation type="list" sqref="L2:L500">
      <x:formula1>"classified,needs_review,unclassifiable"</x:formula1>
    </x:dataValidation>
    <x:dataValidation type="list" sqref="M2:M500">
      <x:formula1>"usable,review,exclude"</x:formula1>
    </x:dataValidation>
    <x:dataValidation type="list" sqref="N2:N500">
      <x:formula1>"unique,duplicate,suspected_repost,review"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12" t="str">
        <x:v>evidence_id</x:v>
      </x:c>
      <x:c r="B1" s="12" t="str">
        <x:v>checked_at</x:v>
      </x:c>
      <x:c r="C1" s="12" t="str">
        <x:v>claim_id</x:v>
      </x:c>
      <x:c r="D1" s="12" t="str">
        <x:v>source_id</x:v>
      </x:c>
      <x:c r="E1" s="12" t="str">
        <x:v>source_type</x:v>
      </x:c>
      <x:c r="F1" s="12" t="str">
        <x:v>source_url</x:v>
      </x:c>
      <x:c r="G1" s="12" t="str">
        <x:v>published_at</x:v>
      </x:c>
      <x:c r="H1" s="12" t="str">
        <x:v>summary</x:v>
      </x:c>
      <x:c r="I1" s="12" t="str">
        <x:v>stance</x:v>
      </x:c>
      <x:c r="J1" s="12" t="str">
        <x:v>dependency_group</x:v>
      </x:c>
      <x:c r="K1" s="12" t="str">
        <x:v>directness_0_5</x:v>
      </x:c>
      <x:c r="L1" s="12" t="str">
        <x:v>verifiability_0_5</x:v>
      </x:c>
      <x:c r="M1" s="12" t="str">
        <x:v>temporal_fit_0_5</x:v>
      </x:c>
      <x:c r="N1" s="12" t="str">
        <x:v>independence_0_5</x:v>
      </x:c>
      <x:c r="O1" s="12" t="str">
        <x:v>sample_coverage_0_5</x:v>
      </x:c>
      <x:c r="P1" s="12" t="str">
        <x:v>scope_match_0_5</x:v>
      </x:c>
      <x:c r="Q1" s="12" t="str">
        <x:v>hard_cap</x:v>
      </x:c>
      <x:c r="R1" s="12" t="str">
        <x:v>item_quality_final</x:v>
      </x:c>
      <x:c r="S1" s="12" t="str">
        <x:v>limitations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12" t="str">
        <x:v>claim_id</x:v>
      </x:c>
      <x:c r="B1" s="12" t="str">
        <x:v>claim_text</x:v>
      </x:c>
      <x:c r="C1" s="12" t="str">
        <x:v>claim_type</x:v>
      </x:c>
      <x:c r="D1" s="12" t="str">
        <x:v>subject</x:v>
      </x:c>
      <x:c r="E1" s="12" t="str">
        <x:v>metric_or_predicate</x:v>
      </x:c>
      <x:c r="F1" s="12" t="str">
        <x:v>scope</x:v>
      </x:c>
      <x:c r="G1" s="12" t="str">
        <x:v>timeframe</x:v>
      </x:c>
      <x:c r="H1" s="12" t="str">
        <x:v>supporting_evidence_ids</x:v>
      </x:c>
      <x:c r="I1" s="12" t="str">
        <x:v>contradicting_evidence_ids</x:v>
      </x:c>
      <x:c r="J1" s="12" t="str">
        <x:v>counter_search_performed</x:v>
      </x:c>
      <x:c r="K1" s="12" t="str">
        <x:v>status</x:v>
      </x:c>
      <x:c r="L1" s="12" t="str">
        <x:v>confidence</x:v>
      </x:c>
      <x:c r="M1" s="12" t="str">
        <x:v>limitations</x:v>
      </x:c>
      <x:c r="N1" s="12" t="str">
        <x:v>last_checked_at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</x:row>
  </x:sheetData>
  <x:dataValidations count="2">
    <x:dataValidation type="list" sqref="K2:K500">
      <x:formula1>"confirmed,partially_confirmed,disputed,contradicted,not_supported,insufficient_data,needs_definition"</x:formula1>
    </x:dataValidation>
    <x:dataValidation type="list" sqref="L2:L500">
      <x:formula1>"high,medium,low"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12" t="str">
        <x:v>measurement_id</x:v>
      </x:c>
      <x:c r="B1" s="12" t="str">
        <x:v>metric_type</x:v>
      </x:c>
      <x:c r="C1" s="12" t="str">
        <x:v>service_unit_id</x:v>
      </x:c>
      <x:c r="D1" s="12" t="str">
        <x:v>platform_market</x:v>
      </x:c>
      <x:c r="E1" s="12" t="str">
        <x:v>window_start</x:v>
      </x:c>
      <x:c r="F1" s="12" t="str">
        <x:v>window_end</x:v>
      </x:c>
      <x:c r="G1" s="12" t="str">
        <x:v>timezone</x:v>
      </x:c>
      <x:c r="H1" s="12" t="str">
        <x:v>method_id</x:v>
      </x:c>
      <x:c r="I1" s="12" t="str">
        <x:v>method_version</x:v>
      </x:c>
      <x:c r="J1" s="12" t="str">
        <x:v>scope_fingerprint</x:v>
      </x:c>
      <x:c r="K1" s="12" t="str">
        <x:v>eligible_n</x:v>
      </x:c>
      <x:c r="L1" s="12" t="str">
        <x:v>review_n</x:v>
      </x:c>
      <x:c r="M1" s="12" t="str">
        <x:v>excluded_n</x:v>
      </x:c>
      <x:c r="N1" s="12" t="str">
        <x:v>result_value</x:v>
      </x:c>
      <x:c r="O1" s="12" t="str">
        <x:v>result_unit</x:v>
      </x:c>
      <x:c r="P1" s="12" t="str">
        <x:v>coverage_status</x:v>
      </x:c>
      <x:c r="Q1" s="12" t="str">
        <x:v>limitations</x:v>
      </x:c>
      <x:c r="R1" s="12" t="str">
        <x:v>measured_at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</x:row>
  </x:sheetData>
  <x:dataValidations count="1">
    <x:dataValidation type="list" sqref="B2:B500">
      <x:formula1>"frequency,budget,payout,competition,requirements,delivery_effort,acquisition_effort,direct_costs,effective_rate,acquisition_test"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12" t="str">
        <x:v>source_id</x:v>
      </x:c>
      <x:c r="B1" s="12" t="str">
        <x:v>canonical_name</x:v>
      </x:c>
      <x:c r="C1" s="12" t="str">
        <x:v>base_url</x:v>
      </x:c>
      <x:c r="D1" s="12" t="str">
        <x:v>category_id</x:v>
      </x:c>
      <x:c r="E1" s="12" t="str">
        <x:v>subcategory_id</x:v>
      </x:c>
      <x:c r="F1" s="12" t="str">
        <x:v>source_role</x:v>
      </x:c>
      <x:c r="G1" s="12" t="str">
        <x:v>current_priority</x:v>
      </x:c>
      <x:c r="H1" s="12" t="str">
        <x:v>current_status</x:v>
      </x:c>
      <x:c r="I1" s="12" t="str">
        <x:v>topic_scope</x:v>
      </x:c>
      <x:c r="J1" s="12" t="str">
        <x:v>geo_scope</x:v>
      </x:c>
      <x:c r="K1" s="12" t="str">
        <x:v>language_scope</x:v>
      </x:c>
      <x:c r="L1" s="12" t="str">
        <x:v>default_ttl_days</x:v>
      </x:c>
      <x:c r="M1" s="12" t="str">
        <x:v>last_reviewed_at</x:v>
      </x:c>
      <x:c r="N1" s="12" t="str">
        <x:v>next_review_at</x:v>
      </x:c>
      <x:c r="O1" s="12" t="str">
        <x:v>searchability</x:v>
      </x:c>
      <x:c r="P1" s="12" t="str">
        <x:v>access_stability</x:v>
      </x:c>
      <x:c r="Q1" s="12" t="str">
        <x:v>noise_risk</x:v>
      </x:c>
      <x:c r="R1" s="12" t="str">
        <x:v>bias_profile</x:v>
      </x:c>
      <x:c r="S1" s="12" t="str">
        <x:v>discovered_via_source_ids</x:v>
      </x:c>
      <x:c r="T1" s="12" t="str">
        <x:v>discovery_route_ids</x:v>
      </x:c>
      <x:c r="U1" s="12" t="str">
        <x:v>default_recipe_ids</x:v>
      </x:c>
      <x:c r="V1" s="12" t="str">
        <x:v>notes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</x:row>
  </x:sheetData>
  <x:dataValidations count="3">
    <x:dataValidation type="list" sqref="F2:F500">
      <x:formula1>"discovery,evidence,both,archive"</x:formula1>
    </x:dataValidation>
    <x:dataValidation type="list" sqref="G2:G500">
      <x:formula1>"P0,P1,P2,P3,P4"</x:formula1>
    </x:dataValidation>
    <x:dataValidation type="list" sqref="H2:H500">
      <x:formula1>"active,watch,hold,blocked,retired,experimental"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12" t="str">
        <x:v>use_plan_id</x:v>
      </x:c>
      <x:c r="B1" s="12" t="str">
        <x:v>task_or_stage</x:v>
      </x:c>
      <x:c r="C1" s="12" t="str">
        <x:v>claim_or_metric_type</x:v>
      </x:c>
      <x:c r="D1" s="12" t="str">
        <x:v>source_id</x:v>
      </x:c>
      <x:c r="E1" s="12" t="str">
        <x:v>role</x:v>
      </x:c>
      <x:c r="F1" s="12" t="str">
        <x:v>priority_override</x:v>
      </x:c>
      <x:c r="G1" s="12" t="str">
        <x:v>requirement_level</x:v>
      </x:c>
      <x:c r="H1" s="12" t="str">
        <x:v>recipe_id</x:v>
      </x:c>
      <x:c r="I1" s="12" t="str">
        <x:v>effort_cap_minutes</x:v>
      </x:c>
      <x:c r="J1" s="12" t="str">
        <x:v>stop_rule</x:v>
      </x:c>
      <x:c r="K1" s="12" t="str">
        <x:v>fallback_source_ids</x:v>
      </x:c>
      <x:c r="L1" s="12" t="str">
        <x:v>last_used_at</x:v>
      </x:c>
      <x:c r="M1" s="12" t="str">
        <x:v>observed_usefulness</x:v>
      </x:c>
      <x:c r="N1" s="12" t="str">
        <x:v>status</x:v>
      </x:c>
      <x:c r="O1" s="12" t="str">
        <x:v>notes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</x:row>
  </x:sheetData>
  <x:dataValidations count="2">
    <x:dataValidation type="list" sqref="F2:F500">
      <x:formula1>"P0,P1,P2,P3,P4,inherit"</x:formula1>
    </x:dataValidation>
    <x:dataValidation type="list" sqref="G2:G500">
      <x:formula1>"required,preferred,optional,fallback,not_applicable"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</x:cols>
  <x:sheetData>
    <x:row r="1">
      <x:c r="A1" s="4" t="str">
        <x:v>System Control</x:v>
      </x:c>
      <x:c r="B1" s="4"/>
      <x:c r="C1" s="4"/>
      <x:c r="D1" s="4"/>
      <x:c r="E1" s="4"/>
      <x:c r="F1" s="4"/>
    </x:row>
    <x:row r="3">
      <x:c r="A3" s="12" t="str">
        <x:v>Field</x:v>
      </x:c>
      <x:c r="B3" s="12" t="str">
        <x:v>Value</x:v>
      </x:c>
    </x:row>
    <x:row r="4">
      <x:c r="A4" s="18" t="str">
        <x:v>system_version</x:v>
      </x:c>
      <x:c r="B4" s="18" t="str">
        <x:v>1.11.0</x:v>
      </x:c>
    </x:row>
    <x:row r="5">
      <x:c r="A5" s="18" t="str">
        <x:v>entrypoint</x:v>
      </x:c>
      <x:c r="B5" s="18" t="str">
        <x:v>START_HERE_AGENT.md</x:v>
      </x:c>
    </x:row>
    <x:row r="6">
      <x:c r="A6" s="18" t="str">
        <x:v>project_index</x:v>
      </x:c>
      <x:c r="B6" s="18" t="str">
        <x:v>PROJECT_INDEX.json</x:v>
      </x:c>
    </x:row>
    <x:row r="7">
      <x:c r="A7" s="18" t="str">
        <x:v>machine_state</x:v>
      </x:c>
      <x:c r="B7" s="18" t="str">
        <x:v>STATE.json</x:v>
      </x:c>
    </x:row>
    <x:row r="8">
      <x:c r="A8" s="18" t="str">
        <x:v>run_state</x:v>
      </x:c>
      <x:c r="B8" s="18" t="str">
        <x:v>RUN_STATE.json</x:v>
      </x:c>
    </x:row>
    <x:row r="9">
      <x:c r="A9" s="18" t="str">
        <x:v>project_config</x:v>
      </x:c>
      <x:c r="B9" s="18" t="str">
        <x:v>PROJECT_CONFIG.json</x:v>
      </x:c>
    </x:row>
    <x:row r="10">
      <x:c r="A10" s="18" t="str">
        <x:v>method_registry</x:v>
      </x:c>
      <x:c r="B10" s="18" t="str">
        <x:v>METHOD_REGISTRY.json</x:v>
      </x:c>
    </x:row>
    <x:row r="11">
      <x:c r="A11" s="18" t="str">
        <x:v>dependency_graph</x:v>
      </x:c>
      <x:c r="B11" s="18" t="str">
        <x:v>DEPENDENCY_GRAPH.json</x:v>
      </x:c>
    </x:row>
    <x:row r="12">
      <x:c r="A12" s="18" t="str">
        <x:v>daily_runs</x:v>
      </x:c>
      <x:c r="B12" s="18" t="str">
        <x:v>LEDGER/DAILY_RUNS.jsonl</x:v>
      </x:c>
    </x:row>
    <x:row r="13">
      <x:c r="A13" s="18" t="str">
        <x:v>observations</x:v>
      </x:c>
      <x:c r="B13" s="18" t="str">
        <x:v>LEDGER/OBSERVATIONS.jsonl</x:v>
      </x:c>
    </x:row>
    <x:row r="14">
      <x:c r="A14" s="18" t="str">
        <x:v>daily_diffs</x:v>
      </x:c>
      <x:c r="B14" s="18" t="str">
        <x:v>LEDGER/DAILY_DIFFS.jsonl</x:v>
      </x:c>
    </x:row>
    <x:row r="15">
      <x:c r="A15" s="18" t="str">
        <x:v>test_suite</x:v>
      </x:c>
      <x:c r="B15" s="18" t="str">
        <x:v>TOOLS/run_tests.py</x:v>
      </x:c>
    </x:row>
    <x:row r="16">
      <x:c r="A16" s="18" t="str">
        <x:v>use_case_registry</x:v>
      </x:c>
      <x:c r="B16" s="18" t="str">
        <x:v>CORE/USE_CASE_REGISTRY.json</x:v>
      </x:c>
    </x:row>
    <x:row r="17">
      <x:c r="A17" s="18" t="str">
        <x:v>routing_model</x:v>
      </x:c>
      <x:c r="B17" s="18" t="str">
        <x:v>request → use case → task manifest → method/source refs → acceptance → checkpoint</x:v>
      </x:c>
    </x:row>
    <x:row r="18">
      <x:c r="A18" s="18" t="str">
        <x:v>no_match</x:v>
      </x:c>
      <x:c r="B18" s="18" t="str">
        <x:v>route to UC19; do not invent parallel workflow</x:v>
      </x:c>
    </x:row>
    <x:row r="19">
      <x:c r="A19" s="78" t="str">
        <x:v>golden_path_registry</x:v>
      </x:c>
      <x:c r="B19" s="18" t="str">
        <x:v>CORE/GOLDEN_PATH_REGISTRY.json</x:v>
      </x:c>
    </x:row>
    <x:row r="20">
      <x:c r="A20" s="78" t="str">
        <x:v>golden_path_runner</x:v>
      </x:c>
      <x:c r="B20" s="18" t="str">
        <x:v>TOOLS/run_golden_paths.py</x:v>
      </x:c>
    </x:row>
    <x:row r="21">
      <x:c r="A21" s="78" t="str">
        <x:v>workflow_event_ledger</x:v>
      </x:c>
      <x:c r="B21" s="18" t="str">
        <x:v>LEDGER/WORKFLOW_EVENTS.jsonl</x:v>
      </x:c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4" hidden="0" customWidth="1"/>
    <x:col min="4" max="4" width="14" hidden="0" customWidth="1"/>
    <x:col min="5" max="5" width="18" hidden="0" customWidth="1"/>
    <x:col min="6" max="6" width="46" hidden="0" customWidth="1"/>
  </x:cols>
  <x:sheetData>
    <x:row r="1">
      <x:c r="A1" s="25" t="str">
        <x:v>artifact_key</x:v>
      </x:c>
      <x:c r="B1" s="25" t="str">
        <x:v>path</x:v>
      </x:c>
      <x:c r="C1" s="25" t="str">
        <x:v>required</x:v>
      </x:c>
      <x:c r="D1" s="25" t="str">
        <x:v>current</x:v>
      </x:c>
      <x:c r="E1" s="25" t="str">
        <x:v>schema_version</x:v>
      </x:c>
      <x:c r="F1" s="25" t="str">
        <x:v>notes</x:v>
      </x:c>
    </x:row>
    <x:row r="2">
      <x:c r="A2" s="18" t="str">
        <x:v>machine_state</x:v>
      </x:c>
      <x:c r="B2" s="18" t="str">
        <x:v>STATE.json</x:v>
      </x:c>
      <x:c r="C2" s="18" t="str">
        <x:v>yes</x:v>
      </x:c>
      <x:c r="D2" s="18" t="str">
        <x:v>yes</x:v>
      </x:c>
      <x:c r="E2" s="18" t="str">
        <x:v>1.1</x:v>
      </x:c>
      <x:c r="F2" s="18" t="str">
        <x:v>canonical state</x:v>
      </x:c>
    </x:row>
    <x:row r="3">
      <x:c r="A3" s="18" t="str">
        <x:v>run_state</x:v>
      </x:c>
      <x:c r="B3" s="18" t="str">
        <x:v>RUN_STATE.json</x:v>
      </x:c>
      <x:c r="C3" s="18" t="str">
        <x:v>yes</x:v>
      </x:c>
      <x:c r="D3" s="18" t="str">
        <x:v>yes</x:v>
      </x:c>
      <x:c r="E3" s="18" t="str">
        <x:v>1.0</x:v>
      </x:c>
      <x:c r="F3" s="18" t="str">
        <x:v>execution state</x:v>
      </x:c>
    </x:row>
    <x:row r="4">
      <x:c r="A4" s="18" t="str">
        <x:v>project_config</x:v>
      </x:c>
      <x:c r="B4" s="18" t="str">
        <x:v>PROJECT_CONFIG.json</x:v>
      </x:c>
      <x:c r="C4" s="18" t="str">
        <x:v>yes</x:v>
      </x:c>
      <x:c r="D4" s="18" t="str">
        <x:v>yes</x:v>
      </x:c>
      <x:c r="E4" s="18" t="str">
        <x:v>1.0</x:v>
      </x:c>
      <x:c r="F4" s="18" t="str">
        <x:v>configurable policy</x:v>
      </x:c>
    </x:row>
    <x:row r="5">
      <x:c r="A5" s="18" t="str">
        <x:v>workbook</x:v>
      </x:c>
      <x:c r="B5" s="18" t="str">
        <x:v>research.xlsx</x:v>
      </x:c>
      <x:c r="C5" s="18" t="str">
        <x:v>yes</x:v>
      </x:c>
      <x:c r="D5" s="18" t="str">
        <x:v>yes</x:v>
      </x:c>
      <x:c r="E5" s="18" t="str"/>
      <x:c r="F5" s="18" t="str">
        <x:v>view</x:v>
      </x:c>
    </x:row>
    <x:row r="6">
      <x:c r="A6" s="18" t="str">
        <x:v>method_registry</x:v>
      </x:c>
      <x:c r="B6" s="18" t="str">
        <x:v>METHOD_REGISTRY.json</x:v>
      </x:c>
      <x:c r="C6" s="18" t="str">
        <x:v>yes</x:v>
      </x:c>
      <x:c r="D6" s="18" t="str">
        <x:v>yes</x:v>
      </x:c>
      <x:c r="E6" s="18" t="str">
        <x:v>1.0</x:v>
      </x:c>
      <x:c r="F6" s="18" t="str">
        <x:v>versioned methods</x:v>
      </x:c>
    </x:row>
    <x:row r="7">
      <x:c r="A7" s="18" t="str">
        <x:v>dependency_graph</x:v>
      </x:c>
      <x:c r="B7" s="18" t="str">
        <x:v>DEPENDENCY_GRAPH.json</x:v>
      </x:c>
      <x:c r="C7" s="18" t="str">
        <x:v>yes</x:v>
      </x:c>
      <x:c r="D7" s="18" t="str">
        <x:v>yes</x:v>
      </x:c>
      <x:c r="E7" s="18" t="str">
        <x:v>1.0</x:v>
      </x:c>
      <x:c r="F7" s="18" t="str">
        <x:v>change propagation</x:v>
      </x:c>
    </x:row>
    <x:row r="8">
      <x:c r="A8" s="18" t="str">
        <x:v>source_registry</x:v>
      </x:c>
      <x:c r="B8" s="18" t="str">
        <x:v>SOURCE_REGISTRY.json</x:v>
      </x:c>
      <x:c r="C8" s="18" t="str">
        <x:v>recommended</x:v>
      </x:c>
      <x:c r="D8" s="18" t="str">
        <x:v>yes</x:v>
      </x:c>
      <x:c r="E8" s="18" t="str">
        <x:v>1.1</x:v>
      </x:c>
      <x:c r="F8" s="18" t="str">
        <x:v>sources</x:v>
      </x:c>
    </x:row>
    <x:row r="9">
      <x:c r="A9" s="18" t="str">
        <x:v>source_use_plan</x:v>
      </x:c>
      <x:c r="B9" s="18" t="str">
        <x:v>SOURCE_USE_PLAN.json</x:v>
      </x:c>
      <x:c r="C9" s="18" t="str">
        <x:v>recommended</x:v>
      </x:c>
      <x:c r="D9" s="18" t="str">
        <x:v>yes</x:v>
      </x:c>
      <x:c r="E9" s="18" t="str">
        <x:v>1.0</x:v>
      </x:c>
      <x:c r="F9" s="18" t="str">
        <x:v>task routing</x:v>
      </x:c>
    </x:row>
    <x:row r="10">
      <x:c r="A10" s="18" t="str">
        <x:v>entity_registry</x:v>
      </x:c>
      <x:c r="B10" s="18" t="str">
        <x:v>ENTITY_REGISTRY.json</x:v>
      </x:c>
      <x:c r="C10" s="18" t="str">
        <x:v>recommended</x:v>
      </x:c>
      <x:c r="D10" s="18" t="str">
        <x:v>yes</x:v>
      </x:c>
      <x:c r="E10" s="18" t="str">
        <x:v>1.0</x:v>
      </x:c>
      <x:c r="F10" s="18" t="str">
        <x:v>rebuildable entity index</x:v>
      </x:c>
    </x:row>
    <x:row r="11">
      <x:c r="A11" s="18" t="str">
        <x:v>daily_runs</x:v>
      </x:c>
      <x:c r="B11" s="18" t="str">
        <x:v>LEDGER/DAILY_RUNS.jsonl</x:v>
      </x:c>
      <x:c r="C11" s="18" t="str">
        <x:v>recommended</x:v>
      </x:c>
      <x:c r="D11" s="18" t="str">
        <x:v>yes</x:v>
      </x:c>
      <x:c r="E11" s="18" t="str">
        <x:v>1.0</x:v>
      </x:c>
      <x:c r="F11" s="18" t="str">
        <x:v>finalized runs</x:v>
      </x:c>
    </x:row>
    <x:row r="12">
      <x:c r="A12" s="18" t="str">
        <x:v>observations</x:v>
      </x:c>
      <x:c r="B12" s="18" t="str">
        <x:v>LEDGER/OBSERVATIONS.jsonl</x:v>
      </x:c>
      <x:c r="C12" s="18" t="str">
        <x:v>recommended</x:v>
      </x:c>
      <x:c r="D12" s="18" t="str">
        <x:v>yes</x:v>
      </x:c>
      <x:c r="E12" s="18" t="str">
        <x:v>1.0</x:v>
      </x:c>
      <x:c r="F12" s="18" t="str">
        <x:v>append-only observations</x:v>
      </x:c>
    </x:row>
    <x:row r="13">
      <x:c r="A13" s="18" t="str">
        <x:v>change_events</x:v>
      </x:c>
      <x:c r="B13" s="18" t="str">
        <x:v>LEDGER/CHANGE_EVENTS.jsonl</x:v>
      </x:c>
      <x:c r="C13" s="18" t="str">
        <x:v>recommended</x:v>
      </x:c>
      <x:c r="D13" s="18" t="str">
        <x:v>yes</x:v>
      </x:c>
      <x:c r="E13" s="18" t="str">
        <x:v>1.0</x:v>
      </x:c>
      <x:c r="F13" s="18" t="str">
        <x:v>append-only events</x:v>
      </x:c>
    </x:row>
    <x:row r="14">
      <x:c r="A14" s="18" t="str">
        <x:v>daily_diffs</x:v>
      </x:c>
      <x:c r="B14" s="18" t="str">
        <x:v>LEDGER/DAILY_DIFFS.jsonl</x:v>
      </x:c>
      <x:c r="C14" s="18" t="str">
        <x:v>recommended</x:v>
      </x:c>
      <x:c r="D14" s="18" t="str">
        <x:v>yes</x:v>
      </x:c>
      <x:c r="E14" s="18" t="str">
        <x:v>1.0</x:v>
      </x:c>
      <x:c r="F14" s="18" t="str">
        <x:v>comparisons</x:v>
      </x:c>
    </x:row>
    <x:row r="15">
      <x:c r="A15" s="18" t="str">
        <x:v>interesting_items</x:v>
      </x:c>
      <x:c r="B15" s="18" t="str">
        <x:v>LEDGER/INTERESTING_ITEMS.jsonl</x:v>
      </x:c>
      <x:c r="C15" s="18" t="str">
        <x:v>recommended</x:v>
      </x:c>
      <x:c r="D15" s="18" t="str">
        <x:v>yes</x:v>
      </x:c>
      <x:c r="E15" s="18" t="str">
        <x:v>1.0</x:v>
      </x:c>
      <x:c r="F15" s="18" t="str">
        <x:v>noteworthy items</x:v>
      </x:c>
    </x:row>
    <x:row r="16">
      <x:c r="A16" s="18" t="str">
        <x:v>handoff</x:v>
      </x:c>
      <x:c r="B16" s="18" t="str">
        <x:v>HANDOFF.json</x:v>
      </x:c>
      <x:c r="C16" s="18" t="str">
        <x:v>recommended</x:v>
      </x:c>
      <x:c r="D16" s="18" t="str">
        <x:v>yes</x:v>
      </x:c>
      <x:c r="E16" s="18" t="str">
        <x:v>1.0</x:v>
      </x:c>
      <x:c r="F16" s="18" t="str">
        <x:v>machine handoff</x:v>
      </x:c>
    </x:row>
    <x:row r="17">
      <x:c r="A17" s="18" t="str">
        <x:v>checkpoint</x:v>
      </x:c>
      <x:c r="B17" s="18" t="str">
        <x:v>SESSION_CHECKPOINT.md</x:v>
      </x:c>
      <x:c r="C17" s="18" t="str">
        <x:v>recommended</x:v>
      </x:c>
      <x:c r="D17" s="18" t="str">
        <x:v>yes</x:v>
      </x:c>
      <x:c r="E17" s="18" t="str"/>
      <x:c r="F17" s="18" t="str">
        <x:v>human handoff</x:v>
      </x:c>
    </x:row>
    <x:row r="18">
      <x:c r="A18" s="18" t="str">
        <x:v>manifest</x:v>
      </x:c>
      <x:c r="B18" s="18" t="str">
        <x:v>MANIFEST.json</x:v>
      </x:c>
      <x:c r="C18" s="18" t="str">
        <x:v>yes</x:v>
      </x:c>
      <x:c r="D18" s="18" t="str">
        <x:v>yes</x:v>
      </x:c>
      <x:c r="E18" s="18" t="str">
        <x:v>1.0</x:v>
      </x:c>
      <x:c r="F18" s="18" t="str">
        <x:v>integrity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s="28" t="str">
        <x:v>Current Execution State</x:v>
      </x:c>
      <x:c r="B1" s="28"/>
      <x:c r="C1" s="28"/>
      <x:c r="D1" s="28"/>
    </x:row>
    <x:row r="3">
      <x:c r="A3" s="25" t="str">
        <x:v>Field</x:v>
      </x:c>
      <x:c r="B3" s="25" t="str">
        <x:v>Value</x:v>
      </x:c>
      <x:c r="C3" s="25" t="str">
        <x:v>Required</x:v>
      </x:c>
      <x:c r="D3" s="25" t="str">
        <x:v>Meaning</x:v>
      </x:c>
    </x:row>
    <x:row r="4">
      <x:c r="A4" s="18" t="str">
        <x:v>schema_version</x:v>
      </x:c>
      <x:c r="B4" s="18" t="str">
        <x:v>1.0</x:v>
      </x:c>
      <x:c r="C4" s="18" t="str">
        <x:v>yes</x:v>
      </x:c>
      <x:c r="D4" s="18" t="str">
        <x:v>runtime schema</x:v>
      </x:c>
    </x:row>
    <x:row r="5">
      <x:c r="A5" s="18" t="str">
        <x:v>system_version</x:v>
      </x:c>
      <x:c r="B5" s="18" t="str">
        <x:v>1.5.0</x:v>
      </x:c>
      <x:c r="C5" s="18" t="str">
        <x:v>yes</x:v>
      </x:c>
      <x:c r="D5" s="18" t="str">
        <x:v>system version</x:v>
      </x:c>
    </x:row>
    <x:row r="6">
      <x:c r="A6" s="18" t="str">
        <x:v>status</x:v>
      </x:c>
      <x:c r="B6" s="18" t="str">
        <x:v>initialized</x:v>
      </x:c>
      <x:c r="C6" s="18" t="str">
        <x:v>yes</x:v>
      </x:c>
      <x:c r="D6" s="18" t="str">
        <x:v>runtime status</x:v>
      </x:c>
    </x:row>
    <x:row r="7">
      <x:c r="A7" s="18" t="str">
        <x:v>active_task_id</x:v>
      </x:c>
      <x:c r="B7" s="18" t="str"/>
      <x:c r="C7" s="18" t="str">
        <x:v>no</x:v>
      </x:c>
      <x:c r="D7" s="18" t="str">
        <x:v>one active task</x:v>
      </x:c>
    </x:row>
    <x:row r="8">
      <x:c r="A8" s="18" t="str">
        <x:v>active_task_instance_key</x:v>
      </x:c>
      <x:c r="B8" s="18" t="str"/>
      <x:c r="C8" s="18" t="str">
        <x:v>no</x:v>
      </x:c>
      <x:c r="D8" s="18" t="str">
        <x:v>idempotent attempt</x:v>
      </x:c>
    </x:row>
    <x:row r="9">
      <x:c r="A9" s="18" t="str">
        <x:v>active_daily_run_id</x:v>
      </x:c>
      <x:c r="B9" s="18" t="str"/>
      <x:c r="C9" s="18" t="str">
        <x:v>no</x:v>
      </x:c>
      <x:c r="D9" s="18" t="str">
        <x:v>open dated run</x:v>
      </x:c>
    </x:row>
    <x:row r="10">
      <x:c r="A10" s="18" t="str">
        <x:v>active_daily_run_path</x:v>
      </x:c>
      <x:c r="B10" s="18" t="str"/>
      <x:c r="C10" s="18" t="str">
        <x:v>no</x:v>
      </x:c>
      <x:c r="D10" s="18" t="str">
        <x:v>RUNS/&lt;id&gt;.json</x:v>
      </x:c>
    </x:row>
    <x:row r="11">
      <x:c r="A11" s="18" t="str">
        <x:v>completed_tasks_this_cycle</x:v>
      </x:c>
      <x:c r="B11" s="18" t="str"/>
      <x:c r="C11" s="18" t="str">
        <x:v>no</x:v>
      </x:c>
      <x:c r="D11" s="18" t="str"/>
    </x:row>
    <x:row r="12">
      <x:c r="A12" s="18" t="str">
        <x:v>open_blockers</x:v>
      </x:c>
      <x:c r="B12" s="18" t="str"/>
      <x:c r="C12" s="18" t="str">
        <x:v>no</x:v>
      </x:c>
      <x:c r="D12" s="18" t="str"/>
    </x:row>
    <x:row r="13">
      <x:c r="A13" s="18" t="str">
        <x:v>last_checkpoint</x:v>
      </x:c>
      <x:c r="B13" s="18" t="str"/>
      <x:c r="C13" s="18" t="str">
        <x:v>no</x:v>
      </x:c>
      <x:c r="D13" s="18" t="str"/>
    </x:row>
    <x:row r="14">
      <x:c r="A14" s="18" t="str">
        <x:v>next_task_id</x:v>
      </x:c>
      <x:c r="B14" s="18" t="str">
        <x:v>M01</x:v>
      </x:c>
      <x:c r="C14" s="18" t="str">
        <x:v>yes</x:v>
      </x:c>
      <x:c r="D14" s="18" t="str">
        <x:v>exact next task</x:v>
      </x:c>
    </x:row>
    <x:row r="15">
      <x:c r="A15" s="18" t="str">
        <x:v>next_question</x:v>
      </x:c>
      <x:c r="B15" s="18" t="str">
        <x:v>Define one service unit.</x:v>
      </x:c>
      <x:c r="C15" s="18" t="str">
        <x:v>yes</x:v>
      </x:c>
      <x:c r="D15" s="18" t="str">
        <x:v>atomic question</x:v>
      </x:c>
    </x:row>
    <x:row r="16">
      <x:c r="A16" s="18" t="str">
        <x:v>next_task_inputs</x:v>
      </x:c>
      <x:c r="B16" s="18" t="str"/>
      <x:c r="C16" s="18" t="str">
        <x:v>yes</x:v>
      </x:c>
      <x:c r="D16" s="18" t="str">
        <x:v>exact inputs</x:v>
      </x:c>
    </x:row>
    <x:row r="17">
      <x:c r="A17" s="18" t="str">
        <x:v>last_updated</x:v>
      </x:c>
      <x:c r="B17" s="18" t="str"/>
      <x:c r="C17" s="18" t="str">
        <x:v>yes</x:v>
      </x:c>
      <x:c r="D17" s="18" t="str">
        <x:v>timestamp</x:v>
      </x:c>
    </x:row>
    <x:row r="18">
      <x:c r="A18" s="18" t="str">
        <x:v>notes</x:v>
      </x:c>
      <x:c r="B18" s="18" t="str"/>
      <x:c r="C18" s="18" t="str">
        <x:v>no</x:v>
      </x:c>
      <x:c r="D18" s="18" t="str"/>
    </x:row>
    <x:row r="19">
      <x:c r="A19" s="18" t="str">
        <x:v>active_use_case_id</x:v>
      </x:c>
      <x:c r="B19" s="18" t="str"/>
      <x:c r="C19" s="18" t="str">
        <x:v>no</x:v>
      </x:c>
      <x:c r="D19" s="18" t="str">
        <x:v>selected reusable workflow for the active task</x:v>
      </x:c>
    </x:row>
    <x:row r="20">
      <x:c r="A20" s="18" t="str">
        <x:v>next_use_case_id</x:v>
      </x:c>
      <x:c r="B20" s="18" t="str">
        <x:v>UC01</x:v>
      </x:c>
      <x:c r="C20" s="18" t="str">
        <x:v>yes</x:v>
      </x:c>
      <x:c r="D20" s="18" t="str">
        <x:v>route this before opening methods/sources</x:v>
      </x:c>
    </x:row>
  </x:sheetData>
  <x:mergeCells>
    <x:mergeCell ref="A1:D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20" max="20" width="16" hidden="0" customWidth="1"/>
    <x:col min="21" max="21" width="28" hidden="0" customWidth="1"/>
    <x:col min="22" max="22" width="52" hidden="0" customWidth="1"/>
    <x:col min="23" max="23" width="24" hidden="0" customWidth="1"/>
    <x:col min="24" max="24" width="22" hidden="0" customWidth="1"/>
  </x:cols>
  <x:sheetData>
    <x:row r="1">
      <x:c r="A1" s="25" t="str">
        <x:v>task_id</x:v>
      </x:c>
      <x:c r="B1" s="25" t="str">
        <x:v>task_instance_key</x:v>
      </x:c>
      <x:c r="C1" s="25" t="str">
        <x:v>cycle_id</x:v>
      </x:c>
      <x:c r="D1" s="25" t="str">
        <x:v>atomic_question</x:v>
      </x:c>
      <x:c r="E1" s="25" t="str">
        <x:v>reason_now</x:v>
      </x:c>
      <x:c r="F1" s="25" t="str">
        <x:v>method_id</x:v>
      </x:c>
      <x:c r="G1" s="25" t="str">
        <x:v>method_version</x:v>
      </x:c>
      <x:c r="H1" s="25" t="str">
        <x:v>source_use_plan_ids</x:v>
      </x:c>
      <x:c r="I1" s="25" t="str">
        <x:v>allowed_inputs</x:v>
      </x:c>
      <x:c r="J1" s="25" t="str">
        <x:v>allowed_actions</x:v>
      </x:c>
      <x:c r="K1" s="25" t="str">
        <x:v>forbidden_actions</x:v>
      </x:c>
      <x:c r="L1" s="25" t="str">
        <x:v>capability_requirements</x:v>
      </x:c>
      <x:c r="M1" s="25" t="str">
        <x:v>dependencies</x:v>
      </x:c>
      <x:c r="N1" s="25" t="str">
        <x:v>outputs</x:v>
      </x:c>
      <x:c r="O1" s="25" t="str">
        <x:v>acceptance_tests</x:v>
      </x:c>
      <x:c r="P1" s="25" t="str">
        <x:v>status</x:v>
      </x:c>
      <x:c r="Q1" s="25" t="str">
        <x:v>attempt</x:v>
      </x:c>
      <x:c r="R1" s="25" t="str">
        <x:v>notes</x:v>
      </x:c>
      <x:c r="T1" s="61" t="str">
        <x:v>use_case_id</x:v>
      </x:c>
      <x:c r="U1" s="61" t="str">
        <x:v>request_ref</x:v>
      </x:c>
      <x:c r="V1" s="61" t="str">
        <x:v>route_reason</x:v>
      </x:c>
      <x:c r="W1" s="61" t="str">
        <x:v>use_case_registry_version</x:v>
      </x:c>
      <x:c r="X1" s="61" t="str">
        <x:v>router_kind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</x:row>
  </x:sheetData>
  <x:dataValidations count="3">
    <x:dataValidation type="list" sqref="P2:P500">
      <x:formula1>"queued,in_progress,done,blocked,cancelled"</x:formula1>
    </x:dataValidation>
    <x:dataValidation type="list" sqref="T2:T500">
      <x:formula1>"UC01,UC02,UC03,UC04,UC05,UC06,UC07,UC08,UC09,UC10,UC11,UC12,UC13,UC14,UC15,UC16,UC17,UC18,UC19,UC20"</x:formula1>
    </x:dataValidation>
    <x:dataValidation type="list" sqref="X2:X500">
      <x:formula1>"agent_semantic,deterministic_helper,migration,system"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sheetData>
    <x:row r="1">
      <x:c r="A1" s="25" t="str">
        <x:v>method_id</x:v>
      </x:c>
      <x:c r="B1" s="25" t="str">
        <x:v>method_version</x:v>
      </x:c>
      <x:c r="C1" s="25" t="str">
        <x:v>purpose</x:v>
      </x:c>
      <x:c r="D1" s="25" t="str">
        <x:v>status</x:v>
      </x:c>
      <x:c r="E1" s="25" t="str">
        <x:v>source_classes</x:v>
      </x:c>
      <x:c r="F1" s="25" t="str">
        <x:v>capability_requirements</x:v>
      </x:c>
      <x:c r="G1" s="25" t="str">
        <x:v>query_templates</x:v>
      </x:c>
      <x:c r="H1" s="25" t="str">
        <x:v>steps</x:v>
      </x:c>
      <x:c r="I1" s="25" t="str">
        <x:v>inclusion_rule</x:v>
      </x:c>
      <x:c r="J1" s="25" t="str">
        <x:v>exclusion_rule</x:v>
      </x:c>
      <x:c r="K1" s="25" t="str">
        <x:v>window_rule</x:v>
      </x:c>
      <x:c r="L1" s="25" t="str">
        <x:v>dedup_rule</x:v>
      </x:c>
      <x:c r="M1" s="25" t="str">
        <x:v>comparability_dimensions</x:v>
      </x:c>
      <x:c r="N1" s="25" t="str">
        <x:v>expected_output</x:v>
      </x:c>
      <x:c r="O1" s="25" t="str">
        <x:v>last_validated_at</x:v>
      </x:c>
      <x:c r="P1" s="25" t="str">
        <x:v>replaced_by</x:v>
      </x:c>
      <x:c r="Q1" s="25" t="str">
        <x:v>limitations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</x:row>
  </x:sheetData>
  <x:dataValidations count="1">
    <x:dataValidation type="list" sqref="D2:D500">
      <x:formula1>"active,needs_update,retired,experimental"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sheetData>
    <x:row r="1">
      <x:c r="A1" s="25" t="str">
        <x:v>edge_id</x:v>
      </x:c>
      <x:c r="B1" s="25" t="str">
        <x:v>from_node_id</x:v>
      </x:c>
      <x:c r="C1" s="25" t="str">
        <x:v>from_type</x:v>
      </x:c>
      <x:c r="D1" s="25" t="str">
        <x:v>to_node_id</x:v>
      </x:c>
      <x:c r="E1" s="25" t="str">
        <x:v>to_type</x:v>
      </x:c>
      <x:c r="F1" s="25" t="str">
        <x:v>relationship</x:v>
      </x:c>
      <x:c r="G1" s="25" t="str">
        <x:v>change_trigger</x:v>
      </x:c>
      <x:c r="H1" s="25" t="str">
        <x:v>reopen_action</x:v>
      </x:c>
      <x:c r="I1" s="25" t="str">
        <x:v>status</x:v>
      </x:c>
      <x:c r="J1" s="25" t="str">
        <x:v>notes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</x:row>
  </x:sheetData>
  <x:dataValidations count="1">
    <x:dataValidation type="list" sqref="F2:F500">
      <x:formula1>"depends_on,derived_from,measured_by,supported_by,invalidates_if_changed,uses_method,uses_source"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sheetData>
    <x:row r="1">
      <x:c r="A1" s="25" t="str">
        <x:v>economics_id</x:v>
      </x:c>
      <x:c r="B1" s="25" t="str">
        <x:v>service_unit_id</x:v>
      </x:c>
      <x:c r="C1" s="25" t="str">
        <x:v>platform_market</x:v>
      </x:c>
      <x:c r="D1" s="25" t="str">
        <x:v>observation_id</x:v>
      </x:c>
      <x:c r="E1" s="25" t="str">
        <x:v>compensation_basis</x:v>
      </x:c>
      <x:c r="F1" s="25" t="str">
        <x:v>currency</x:v>
      </x:c>
      <x:c r="G1" s="25" t="str">
        <x:v>advertised_payout_min</x:v>
      </x:c>
      <x:c r="H1" s="25" t="str">
        <x:v>advertised_payout_max</x:v>
      </x:c>
      <x:c r="I1" s="25" t="str">
        <x:v>realized_payout</x:v>
      </x:c>
      <x:c r="J1" s="25" t="str">
        <x:v>setup_learning_minutes</x:v>
      </x:c>
      <x:c r="K1" s="25" t="str">
        <x:v>execution_minutes</x:v>
      </x:c>
      <x:c r="L1" s="25" t="str">
        <x:v>revision_minutes</x:v>
      </x:c>
      <x:c r="M1" s="25" t="str">
        <x:v>communication_minutes</x:v>
      </x:c>
      <x:c r="N1" s="25" t="str">
        <x:v>acquisition_minutes</x:v>
      </x:c>
      <x:c r="O1" s="25" t="str">
        <x:v>direct_costs</x:v>
      </x:c>
      <x:c r="P1" s="25" t="str">
        <x:v>platform_fees</x:v>
      </x:c>
      <x:c r="Q1" s="25" t="str">
        <x:v>skill_barrier</x:v>
      </x:c>
      <x:c r="R1" s="25" t="str">
        <x:v>tool_setup_burden</x:v>
      </x:c>
      <x:c r="S1" s="25" t="str">
        <x:v>gross_effective_hourly_rate</x:v>
      </x:c>
      <x:c r="T1" s="25" t="str">
        <x:v>acquisition_adjusted_hourly_rate</x:v>
      </x:c>
      <x:c r="U1" s="25" t="str">
        <x:v>net_effective_hourly_rate</x:v>
      </x:c>
      <x:c r="V1" s="25" t="str">
        <x:v>work_action_tags</x:v>
      </x:c>
      <x:c r="W1" s="25" t="str">
        <x:v>measurement_status</x:v>
      </x:c>
      <x:c r="X1" s="25" t="str">
        <x:v>source_url</x:v>
      </x:c>
      <x:c r="Y1" s="25" t="str">
        <x:v>observed_at</x:v>
      </x:c>
      <x:c r="Z1" s="25" t="str">
        <x:v>notes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</x:row>
  </x:sheetData>
  <x:dataValidations count="2">
    <x:dataValidation type="list" sqref="E2:E500">
      <x:formula1>"fixed,hourly,per_item,per_test,per_interview,per_batch,bounty,other"</x:formula1>
    </x:dataValidation>
    <x:dataValidation type="list" sqref="W2:W500">
      <x:formula1>"observed,partially_observed,estimated_from_practical_test,not_observable,needs_review"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sheetData>
    <x:row r="1">
      <x:c r="A1" s="28" t="str">
        <x:v>Temporal Monitoring</x:v>
      </x:c>
      <x:c r="B1" s="28"/>
      <x:c r="C1" s="28"/>
      <x:c r="D1" s="28"/>
      <x:c r="E1" s="28"/>
      <x:c r="F1" s="28"/>
      <x:c r="G1" s="28"/>
      <x:c r="H1" s="28"/>
    </x:row>
    <x:row r="3">
      <x:c r="A3" s="25" t="str">
        <x:v>Rule</x:v>
      </x:c>
      <x:c r="B3" s="25" t="str">
        <x:v>Meaning</x:v>
      </x:c>
    </x:row>
    <x:row r="4">
      <x:c r="A4" s="18" t="str">
        <x:v>Research day</x:v>
      </x:c>
      <x:c r="B4" s="18" t="str">
        <x:v>UTC timestamps + explicit project timezone</x:v>
      </x:c>
    </x:row>
    <x:row r="5">
      <x:c r="A5" s="18" t="str">
        <x:v>Daily Run</x:v>
      </x:c>
      <x:c r="B5" s="18" t="str">
        <x:v>method/version/scope/coverage recorded</x:v>
      </x:c>
    </x:row>
    <x:row r="6">
      <x:c r="A6" s="18" t="str">
        <x:v>Append-only</x:v>
      </x:c>
      <x:c r="B6" s="18" t="str">
        <x:v>observations/events/diffs are historical</x:v>
      </x:c>
    </x:row>
    <x:row r="7">
      <x:c r="A7" s="18" t="str">
        <x:v>Not seen</x:v>
      </x:c>
      <x:c r="B7" s="18" t="str">
        <x:v>not equivalent to closed</x:v>
      </x:c>
    </x:row>
    <x:row r="8">
      <x:c r="A8" s="18" t="str">
        <x:v>Confirmed closed</x:v>
      </x:c>
      <x:c r="B8" s="18" t="str">
        <x:v>explicit/authoritative negative required</x:v>
      </x:c>
    </x:row>
    <x:row r="9">
      <x:c r="A9" s="18" t="str">
        <x:v>Comparable delta</x:v>
      </x:c>
      <x:c r="B9" s="18" t="str">
        <x:v>compatible method + scope + coverage</x:v>
      </x:c>
    </x:row>
    <x:row r="10">
      <x:c r="A10" s="18" t="str">
        <x:v>Partial run</x:v>
      </x:c>
      <x:c r="B10" s="18" t="str">
        <x:v>retained but qualified</x:v>
      </x:c>
    </x:row>
    <x:row r="11">
      <x:c r="A11" s="18" t="str">
        <x:v>Interesting items</x:v>
      </x:c>
      <x:c r="B11" s="18" t="str">
        <x:v>manual/configured rule with date/reason</x:v>
      </x:c>
    </x:row>
    <x:row r="12">
      <x:c r="A12" s="18" t="str">
        <x:v>Config precedence</x:v>
      </x:c>
      <x:c r="B12" s="18" t="str">
        <x:v>Task override → ProjectConfig → SystemDefaults</x:v>
      </x:c>
    </x:row>
    <x:row r="13">
      <x:c r="A13" s="18" t="str">
        <x:v>Refactor rule</x:v>
      </x:c>
      <x:c r="B13" s="18" t="str">
        <x:v>tests target semantics, not formatting/layout</x:v>
      </x:c>
    </x:row>
  </x:sheetData>
  <x:mergeCells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sheetData>
    <x:row r="1">
      <x:c r="A1" s="25" t="str">
        <x:v>run_id</x:v>
      </x:c>
      <x:c r="B1" s="25" t="str">
        <x:v>research_date</x:v>
      </x:c>
      <x:c r="C1" s="25" t="str">
        <x:v>timezone</x:v>
      </x:c>
      <x:c r="D1" s="25" t="str">
        <x:v>started_at</x:v>
      </x:c>
      <x:c r="E1" s="25" t="str">
        <x:v>completed_at</x:v>
      </x:c>
      <x:c r="F1" s="25" t="str">
        <x:v>run_kind</x:v>
      </x:c>
      <x:c r="G1" s="25" t="str">
        <x:v>task_id</x:v>
      </x:c>
      <x:c r="H1" s="25" t="str">
        <x:v>method_id</x:v>
      </x:c>
      <x:c r="I1" s="25" t="str">
        <x:v>method_version</x:v>
      </x:c>
      <x:c r="J1" s="25" t="str">
        <x:v>source_route_ids</x:v>
      </x:c>
      <x:c r="K1" s="25" t="str">
        <x:v>scope_fingerprint</x:v>
      </x:c>
      <x:c r="L1" s="25" t="str">
        <x:v>coverage_status</x:v>
      </x:c>
      <x:c r="M1" s="25" t="str">
        <x:v>observations</x:v>
      </x:c>
      <x:c r="N1" s="25" t="str">
        <x:v>seen</x:v>
      </x:c>
      <x:c r="O1" s="25" t="str">
        <x:v>explicit_negative</x:v>
      </x:c>
      <x:c r="P1" s="25" t="str">
        <x:v>query_absence</x:v>
      </x:c>
      <x:c r="Q1" s="25" t="str">
        <x:v>errors</x:v>
      </x:c>
      <x:c r="R1" s="25" t="str">
        <x:v>coverage_notes</x:v>
      </x:c>
      <x:c r="S1" s="25" t="str">
        <x:v>notes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</x:row>
  </x:sheetData>
  <x:dataValidations count="1">
    <x:dataValidation type="list" sqref="L2:L500">
      <x:formula1>"in_progress,complete,partial,failed"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sheetData>
    <x:row r="1">
      <x:c r="A1" s="25" t="str">
        <x:v>entity_id</x:v>
      </x:c>
      <x:c r="B1" s="25" t="str">
        <x:v>entity_type</x:v>
      </x:c>
      <x:c r="C1" s="25" t="str">
        <x:v>canonical_key</x:v>
      </x:c>
      <x:c r="D1" s="25" t="str">
        <x:v>first_seen_at</x:v>
      </x:c>
      <x:c r="E1" s="25" t="str">
        <x:v>first_seen_date</x:v>
      </x:c>
      <x:c r="F1" s="25" t="str">
        <x:v>last_seen_at</x:v>
      </x:c>
      <x:c r="G1" s="25" t="str">
        <x:v>last_checked_at</x:v>
      </x:c>
      <x:c r="H1" s="25" t="str">
        <x:v>last_observed_at</x:v>
      </x:c>
      <x:c r="I1" s="25" t="str">
        <x:v>current_state</x:v>
      </x:c>
      <x:c r="J1" s="25" t="str">
        <x:v>last_confirmed_state_at</x:v>
      </x:c>
      <x:c r="K1" s="25" t="str">
        <x:v>observation_count</x:v>
      </x:c>
      <x:c r="L1" s="25" t="str">
        <x:v>canonical_url</x:v>
      </x:c>
      <x:c r="M1" s="25" t="str">
        <x:v>service_unit_id</x:v>
      </x:c>
      <x:c r="N1" s="25" t="str">
        <x:v>platform_market</x:v>
      </x:c>
      <x:c r="O1" s="25" t="str">
        <x:v>notes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</x:row>
  </x:sheetData>
  <x:dataValidations count="1">
    <x:dataValidation type="list" sqref="I2:I500">
      <x:formula1>"active,closed,removed,expired,paused,unknown"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sheetData>
    <x:row r="1">
      <x:c r="A1" s="25" t="str">
        <x:v>observation_id</x:v>
      </x:c>
      <x:c r="B1" s="25" t="str">
        <x:v>idempotency_key</x:v>
      </x:c>
      <x:c r="C1" s="25" t="str">
        <x:v>run_id</x:v>
      </x:c>
      <x:c r="D1" s="25" t="str">
        <x:v>entity_id</x:v>
      </x:c>
      <x:c r="E1" s="25" t="str">
        <x:v>entity_type</x:v>
      </x:c>
      <x:c r="F1" s="25" t="str">
        <x:v>canonical_key</x:v>
      </x:c>
      <x:c r="G1" s="25" t="str">
        <x:v>observed_at</x:v>
      </x:c>
      <x:c r="H1" s="25" t="str">
        <x:v>research_date</x:v>
      </x:c>
      <x:c r="I1" s="25" t="str">
        <x:v>observation_class</x:v>
      </x:c>
      <x:c r="J1" s="25" t="str">
        <x:v>asserted_state</x:v>
      </x:c>
      <x:c r="K1" s="25" t="str">
        <x:v>source_id</x:v>
      </x:c>
      <x:c r="L1" s="25" t="str">
        <x:v>method_id</x:v>
      </x:c>
      <x:c r="M1" s="25" t="str">
        <x:v>method_version</x:v>
      </x:c>
      <x:c r="N1" s="25" t="str">
        <x:v>scope_fingerprint</x:v>
      </x:c>
      <x:c r="O1" s="25" t="str">
        <x:v>semantic_fingerprint</x:v>
      </x:c>
      <x:c r="P1" s="25" t="str">
        <x:v>semantic_payload_json</x:v>
      </x:c>
      <x:c r="Q1" s="25" t="str">
        <x:v>notes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</x:row>
  </x:sheetData>
  <x:dataValidations count="2">
    <x:dataValidation type="list" sqref="I2:I500">
      <x:formula1>"seen,explicit_negative,query_absence,error"</x:formula1>
    </x:dataValidation>
    <x:dataValidation type="list" sqref="J2:J500">
      <x:formula1>"active,closed,removed,expired,paused,unknown,not_applicable"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sheetData>
    <x:row r="1">
      <x:c r="A1" s="25" t="str">
        <x:v>diff_id</x:v>
      </x:c>
      <x:c r="B1" s="25" t="str">
        <x:v>research_date</x:v>
      </x:c>
      <x:c r="C1" s="25" t="str">
        <x:v>current_run_id</x:v>
      </x:c>
      <x:c r="D1" s="25" t="str">
        <x:v>previous_run_id</x:v>
      </x:c>
      <x:c r="E1" s="25" t="str">
        <x:v>comparison_status</x:v>
      </x:c>
      <x:c r="F1" s="25" t="str">
        <x:v>new_count</x:v>
      </x:c>
      <x:c r="G1" s="25" t="str">
        <x:v>changed_count</x:v>
      </x:c>
      <x:c r="H1" s="25" t="str">
        <x:v>confirmed_closed_count</x:v>
      </x:c>
      <x:c r="I1" s="25" t="str">
        <x:v>reopened_count</x:v>
      </x:c>
      <x:c r="J1" s="25" t="str">
        <x:v>not_seen_count</x:v>
      </x:c>
      <x:c r="K1" s="25" t="str">
        <x:v>seen_again_count</x:v>
      </x:c>
      <x:c r="L1" s="25" t="str">
        <x:v>new_entity_ids</x:v>
      </x:c>
      <x:c r="M1" s="25" t="str">
        <x:v>changed_entity_ids</x:v>
      </x:c>
      <x:c r="N1" s="25" t="str">
        <x:v>confirmed_closed_ids</x:v>
      </x:c>
      <x:c r="O1" s="25" t="str">
        <x:v>reopened_ids</x:v>
      </x:c>
      <x:c r="P1" s="25" t="str">
        <x:v>not_seen_ids</x:v>
      </x:c>
      <x:c r="Q1" s="25" t="str">
        <x:v>coverage_current</x:v>
      </x:c>
      <x:c r="R1" s="25" t="str">
        <x:v>coverage_previous</x:v>
      </x:c>
      <x:c r="S1" s="25" t="str">
        <x:v>notes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</x:row>
  </x:sheetData>
  <x:dataValidations count="1">
    <x:dataValidation type="list" sqref="E2:E500">
      <x:formula1>"comparable,partially_comparable,not_comparable"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50" hidden="0" customWidth="1"/>
    <x:col min="4" max="4" width="16" hidden="0" customWidth="1"/>
    <x:col min="5" max="5" width="28" hidden="0" customWidth="1"/>
    <x:col min="6" max="6" width="56" hidden="0" customWidth="1"/>
    <x:col min="7" max="7" width="56" hidden="0" customWidth="1"/>
    <x:col min="8" max="8" width="40" hidden="0" customWidth="1"/>
    <x:col min="9" max="9" width="56" hidden="0" customWidth="1"/>
    <x:col min="10" max="10" width="12" hidden="0" customWidth="1"/>
  </x:cols>
  <x:sheetData>
    <x:row r="1">
      <x:c r="A1" s="54" t="str">
        <x:v>Axis</x:v>
      </x:c>
      <x:c r="B1" s="54" t="str">
        <x:v>Name</x:v>
      </x:c>
      <x:c r="C1" s="54" t="str">
        <x:v>Question</x:v>
      </x:c>
      <x:c r="D1" s="54" t="str">
        <x:v>Release gate</x:v>
      </x:c>
      <x:c r="E1" s="54" t="str">
        <x:v>Cadence</x:v>
      </x:c>
      <x:c r="F1" s="54" t="str">
        <x:v>Failure modes</x:v>
      </x:c>
      <x:c r="G1" s="54" t="str">
        <x:v>Mandatory checks</x:v>
      </x:c>
      <x:c r="H1" s="54" t="str">
        <x:v>Evidence</x:v>
      </x:c>
      <x:c r="I1" s="54" t="str">
        <x:v>Pass rule</x:v>
      </x:c>
      <x:c r="J1" s="54" t="str">
        <x:v>Framework</x:v>
      </x:c>
    </x:row>
    <x:row r="2">
      <x:c r="A2" s="18" t="str">
        <x:v>AX01</x:v>
      </x:c>
      <x:c r="B2" s="18" t="str">
        <x:v>Purpose &amp; decision fitness</x:v>
      </x:c>
      <x:c r="C2" s="18" t="str">
        <x:v>Does the system preserve the actual research decision and prevent scope/decision drift?</x:v>
      </x:c>
      <x:c r="D2" s="18" t="str">
        <x:v>standard</x:v>
      </x:c>
      <x:c r="E2" s="18" t="str">
        <x:v>every release and after research-contract changes</x:v>
      </x:c>
      <x:c r="F2" s="18" t="str">
        <x:v>decision question lost during handoff; research expands without relation to decision; descriptive evidence mixed with final recommendation</x:v>
      </x:c>
      <x:c r="G2" s="18" t="str">
        <x:v>decision question/unit are present in state/handoff; atomic tasks map to decision need; no hidden master score is required</x:v>
      </x:c>
      <x:c r="H2" s="18" t="str">
        <x:v>SYSTEM_CONTRACT; PROJECT/STATE templates; handoff/bootstrap walkthrough</x:v>
      </x:c>
      <x:c r="I2" s="18" t="str">
        <x:v>Core contract and runtime preserve the decision question and separation of evidence/decision layers; no material contradiction found.</x:v>
      </x:c>
      <x:c r="J2" s="18" t="str">
        <x:v>2.0</x:v>
      </x:c>
    </x:row>
    <x:row r="3">
      <x:c r="A3" s="18" t="str">
        <x:v>AX02</x:v>
      </x:c>
      <x:c r="B3" s="18" t="str">
        <x:v>Authority, pointers &amp; state consistency</x:v>
      </x:c>
      <x:c r="C3" s="18" t="str">
        <x:v>Is each concern owned by one canonical source of truth, with derived mirrors/pointers unable to compete with it?</x:v>
      </x:c>
      <x:c r="D3" s="18" t="str">
        <x:v>critical</x:v>
      </x:c>
      <x:c r="E3" s="18" t="str">
        <x:v>every release and every checkpoint</x:v>
      </x:c>
      <x:c r="F3" s="18" t="str">
        <x:v>two authoritative files compete for the same runtime decision; required artifact pointer is broken; derived mirror is mistaken for canonical state; validator misses authority conflict</x:v>
      </x:c>
      <x:c r="G3" s="18" t="str">
        <x:v>ProjectIndex pointers resolve and contain pointers rather than execution state; RUN_STATE alone owns active/next use_case and task; STATE owns durable project state but not next action; HANDOFF is an immutable/portable checkpoint snapshot, not an authority competitor; human/workbook mirrors are explicitly non-authoritative</x:v>
      </x:c>
      <x:c r="H3" s="18" t="str">
        <x:v>validate_project adversarial state/pointer cases; init/bootstrap outputs</x:v>
      </x:c>
      <x:c r="I3" s="18" t="str">
        <x:v>Each concern has one canonical owner; no unresolved authority conflict; broken pointers fail validation.</x:v>
      </x:c>
      <x:c r="J3" s="18" t="str">
        <x:v>2.0</x:v>
      </x:c>
    </x:row>
    <x:row r="4">
      <x:c r="A4" s="18" t="str">
        <x:v>AX03</x:v>
      </x:c>
      <x:c r="B4" s="18" t="str">
        <x:v>Schema, enums &amp; version integrity</x:v>
      </x:c>
      <x:c r="C4" s="18" t="str">
        <x:v>Do structured artifacts conform to declared schemas/enums/versions?</x:v>
      </x:c>
      <x:c r="D4" s="18" t="str">
        <x:v>critical</x:v>
      </x:c>
      <x:c r="E4" s="18" t="str">
        <x:v>every release and schema change</x:v>
      </x:c>
      <x:c r="F4" s="18" t="str">
        <x:v>invalid enum accepted; required field missing; schema dialect ambiguous; unsupported version silently accepted</x:v>
      </x:c>
      <x:c r="G4" s="18" t="str">
        <x:v>machine validation of all public schemas; schema-version compatibility gate; enum/required-field negative tests; schema dialect is explicit</x:v>
      </x:c>
      <x:c r="H4" s="18" t="str">
        <x:v>schema validators; negative fixtures</x:v>
      </x:c>
      <x:c r="I4" s="18" t="str">
        <x:v>Invalid structured records are rejected and supported schema versions are explicit.</x:v>
      </x:c>
      <x:c r="J4" s="18" t="str">
        <x:v>2.0</x:v>
      </x:c>
    </x:row>
    <x:row r="5">
      <x:c r="A5" s="18" t="str">
        <x:v>AX04</x:v>
      </x:c>
      <x:c r="B5" s="18" t="str">
        <x:v>Identity, deduplication &amp; idempotency</x:v>
      </x:c>
      <x:c r="C5" s="18" t="str">
        <x:v>Can the same real-world object/action be replayed safely without duplication or provenance loss?</x:v>
      </x:c>
      <x:c r="D5" s="18" t="str">
        <x:v>critical</x:v>
      </x:c>
      <x:c r="E5" s="18" t="str">
        <x:v>every release touching IDs/ledgers</x:v>
      </x:c>
      <x:c r="F5" s="18" t="str">
        <x:v>duplicate logical observation; same canonical entity split into multiple IDs; different-source evidence collapsed unintentionally; entity ID changes meaning</x:v>
      </x:c>
      <x:c r="G5" s="18" t="str">
        <x:v>replay test; canonical-key consistency; same source vs different source semantics; duplicate IDs/canonical keys rejected</x:v>
      </x:c>
      <x:c r="H5" s="18" t="str">
        <x:v>idempotency tests; entity-registry validation</x:v>
      </x:c>
      <x:c r="I5" s="18" t="str">
        <x:v>Replay is safe and dedup does not erase materially distinct provenance.</x:v>
      </x:c>
      <x:c r="J5" s="18" t="str">
        <x:v>2.0</x:v>
      </x:c>
    </x:row>
    <x:row r="6">
      <x:c r="A6" s="18" t="str">
        <x:v>AX05</x:v>
      </x:c>
      <x:c r="B6" s="18" t="str">
        <x:v>Temporal correctness &amp; daily history</x:v>
      </x:c>
      <x:c r="C6" s="18" t="str">
        <x:v>Are first-seen, changed, absent, closed, reopened and historical states correct across days?</x:v>
      </x:c>
      <x:c r="D6" s="18" t="str">
        <x:v>critical</x:v>
      </x:c>
      <x:c r="E6" s="18" t="str">
        <x:v>every release touching monitoring</x:v>
      </x:c>
      <x:c r="F6" s="18" t="str">
        <x:v>not-seen treated as closed; old item becomes falsely new after a gap; reopen missed after a gap; run/file history diverges; day timezone wrong</x:v>
      </x:c>
      <x:c r="G6" s="18" t="str">
        <x:v>gap-day scenarios; closure/reopen scenarios; timezone boundary; double-finalize/replay; historical queries reproduce day-specific state</x:v>
      </x:c>
      <x:c r="H6" s="18" t="str">
        <x:v>daily-run adversarial tests; temporal validator</x:v>
      </x:c>
      <x:c r="I6" s="18" t="str">
        <x:v>Daily events remain correct across gaps/replays and historical ledgers cannot diverge from finalized run semantics.</x:v>
      </x:c>
      <x:c r="J6" s="18" t="str">
        <x:v>2.0</x:v>
      </x:c>
    </x:row>
    <x:row r="7">
      <x:c r="A7" s="18" t="str">
        <x:v>AX06</x:v>
      </x:c>
      <x:c r="B7" s="18" t="str">
        <x:v>Method/scope/source-route comparability</x:v>
      </x:c>
      <x:c r="C7" s="18" t="str">
        <x:v>Are deltas/trends produced only from genuinely comparable runs?</x:v>
      </x:c>
      <x:c r="D7" s="18" t="str">
        <x:v>critical</x:v>
      </x:c>
      <x:c r="E7" s="18" t="str">
        <x:v>every release touching methods/diffs</x:v>
      </x:c>
      <x:c r="F7" s="18" t="str">
        <x:v>different source routes compared as market change; method version change silently trended; scope change ignored; not-comparable diff still emits misleading market-change events</x:v>
      </x:c>
      <x:c r="G7" s="18" t="str">
        <x:v>method/version gate; scope fingerprint gate; source-route gate; declared compatibility dimensions honored; non-comparable runs cannot create unqualified market-change events</x:v>
      </x:c>
      <x:c r="H7" s="18" t="str">
        <x:v>build_daily_diff tests; MethodRegistry compatibility tests</x:v>
      </x:c>
      <x:c r="I7" s="18" t="str">
        <x:v>Every comparison dimension in contract is enforced and incompatible runs cannot generate unqualified change claims.</x:v>
      </x:c>
      <x:c r="J7" s="18" t="str">
        <x:v>2.0</x:v>
      </x:c>
    </x:row>
    <x:row r="8">
      <x:c r="A8" s="18" t="str">
        <x:v>AX07</x:v>
      </x:c>
      <x:c r="B8" s="18" t="str">
        <x:v>Source, provenance &amp; evidence traceability</x:v>
      </x:c>
      <x:c r="C8" s="18" t="str">
        <x:v>Can every important observation/claim be traced to the right source without conflating discovery with evidence?</x:v>
      </x:c>
      <x:c r="D8" s="18" t="str">
        <x:v>critical</x:v>
      </x:c>
      <x:c r="E8" s="18" t="str">
        <x:v>every release touching source/evidence model</x:v>
      </x:c>
      <x:c r="F8" s="18" t="str">
        <x:v>source provenance lost; discovery source treated as final evidence; claim has no supporting evidence IDs; independent sources collapsed</x:v>
      </x:c>
      <x:c r="G8" s="18" t="str">
        <x:v>source IDs preserved per evidence item; claim-evidence links validated; source role/category/priority separation; dependency groups retained</x:v>
      </x:c>
      <x:c r="H8" s="18" t="str">
        <x:v>SourceRegistry/SourceUsePlan; Evidence/Claim validators</x:v>
      </x:c>
      <x:c r="I8" s="18" t="str">
        <x:v>Traceability is machine-checkable for decision-relevant claims and multiple sources remain distinguishable.</x:v>
      </x:c>
      <x:c r="J8" s="18" t="str">
        <x:v>2.0</x:v>
      </x:c>
    </x:row>
    <x:row r="9">
      <x:c r="A9" s="18" t="str">
        <x:v>AX08</x:v>
      </x:c>
      <x:c r="B9" s="18" t="str">
        <x:v>Sampling &amp; measurement validity</x:v>
      </x:c>
      <x:c r="C9" s="18" t="str">
        <x:v>Does the system prevent invalid denominators, mixed samples and unsupported quantitative claims?</x:v>
      </x:c>
      <x:c r="D9" s="18" t="str">
        <x:v>critical</x:v>
      </x:c>
      <x:c r="E9" s="18" t="str">
        <x:v>every measurement-method release</x:v>
      </x:c>
      <x:c r="F9" s="18" t="str">
        <x:v>discovery sample reused as frequency denominator; window/query not recorded; missing values converted to zero; competition proxy presented as total competition</x:v>
      </x:c>
      <x:c r="G9" s="18" t="str">
        <x:v>measurement window and method required; eligibility/dedup counts present; discovery-vs-measurement sample distinction enforced; trend requires repeated comparable windows</x:v>
      </x:c>
      <x:c r="H9" s="18" t="str">
        <x:v>measurement schemas; sampling protocol; negative fixtures</x:v>
      </x:c>
      <x:c r="I9" s="18" t="str">
        <x:v>Quantitative outputs cannot be produced without the minimum sampling/measurement contract.</x:v>
      </x:c>
      <x:c r="J9" s="18" t="str">
        <x:v>2.0</x:v>
      </x:c>
    </x:row>
    <x:row r="10">
      <x:c r="A10" s="18" t="str">
        <x:v>AX09</x:v>
      </x:c>
      <x:c r="B10" s="18" t="str">
        <x:v>Economics &amp; effort validity</x:v>
      </x:c>
      <x:c r="C10" s="18" t="str">
        <x:v>Are payouts, effort, costs and derived rates comparable without invented inputs?</x:v>
      </x:c>
      <x:c r="D10" s="18" t="str">
        <x:v>standard</x:v>
      </x:c>
      <x:c r="E10" s="18" t="str">
        <x:v>every economics-model release</x:v>
      </x:c>
      <x:c r="F10" s="18" t="str">
        <x:v>missing time guessed; gross/net rates use inconsistent denominator; fees/costs omitted without marking; currency normalization undocumented; cheap tasks filtered out</x:v>
      </x:c>
      <x:c r="G10" s="18" t="str">
        <x:v>raw components retained; derived rate prerequisites validated; currency/FX basis explicit when normalized; missingness explicit; low-payout observations preserved</x:v>
      </x:c>
      <x:c r="H10" s="18" t="str">
        <x:v>OpportunityEconomics schema/method; derived-metric tests</x:v>
      </x:c>
      <x:c r="I10" s="18" t="str">
        <x:v>Derived economics are only computed from explicit inputs and preserve raw payout/effort/cost evidence.</x:v>
      </x:c>
      <x:c r="J10" s="18" t="str">
        <x:v>2.0</x:v>
      </x:c>
    </x:row>
    <x:row r="11">
      <x:c r="A11" s="18" t="str">
        <x:v>AX10</x:v>
      </x:c>
      <x:c r="B11" s="18" t="str">
        <x:v>Dependency graph &amp; change propagation</x:v>
      </x:c>
      <x:c r="C11" s="18" t="str">
        <x:v>Do material changes reopen exactly the downstream objects that depend on them?</x:v>
      </x:c>
      <x:c r="D11" s="18" t="str">
        <x:v>critical</x:v>
      </x:c>
      <x:c r="E11" s="18" t="str">
        <x:v>every dependency-model release</x:v>
      </x:c>
      <x:c r="F11" s="18" t="str">
        <x:v>wrong edge direction; all objects rerun unnecessarily; dependent claim not reopened; cycle causes bad traversal</x:v>
      </x:c>
      <x:c r="G11" s="18" t="str">
        <x:v>graph schema and node existence; edge direction semantics; cycle handling; known propagation fixtures; change event -&gt; impacted task integration</x:v>
      </x:c>
      <x:c r="H11" s="18" t="str">
        <x:v>propagate_changes tests; dependency fixtures</x:v>
      </x:c>
      <x:c r="I11" s="18" t="str">
        <x:v>Known graph fixtures produce exact impacted sets and invalid graph references fail validation.</x:v>
      </x:c>
      <x:c r="J11" s="18" t="str">
        <x:v>2.0</x:v>
      </x:c>
    </x:row>
    <x:row r="12">
      <x:c r="A12" s="18" t="str">
        <x:v>AX11</x:v>
      </x:c>
      <x:c r="B12" s="18" t="str">
        <x:v>Bootstrap, reuse, handoff &amp; reproducibility</x:v>
      </x:c>
      <x:c r="C12" s="18" t="str">
        <x:v>Can a clean chat reliably continue from previous artifacts without reconstructing context manually?</x:v>
      </x:c>
      <x:c r="D12" s="18" t="str">
        <x:v>critical</x:v>
      </x:c>
      <x:c r="E12" s="18" t="str">
        <x:v>every release</x:v>
      </x:c>
      <x:c r="F12" s="18" t="str">
        <x:v>bootstrap pointer points to nonexistent file; required baseline artifact not inventoried; handoff omits next inputs; project not self-consistent after init/checkpoint</x:v>
      </x:c>
      <x:c r="G12" s="18" t="str">
        <x:v>new-project init; baseline cycle init; multi-artifact bootstrap; checkpoint then clean-chat continuation; all ProjectIndex pointers resolve</x:v>
      </x:c>
      <x:c r="H12" s="18" t="str">
        <x:v>smoke test; bootstrap adversarial tests</x:v>
      </x:c>
      <x:c r="I12" s="18" t="str">
        <x:v>Fresh and baseline projects pass validation with resolvable pointers and enough state to execute exactly one next task.</x:v>
      </x:c>
      <x:c r="J12" s="18" t="str">
        <x:v>2.0</x:v>
      </x:c>
    </x:row>
    <x:row r="13">
      <x:c r="A13" s="18" t="str">
        <x:v>AX12</x:v>
      </x:c>
      <x:c r="B13" s="18" t="str">
        <x:v>Configurability &amp; extensibility</x:v>
      </x:c>
      <x:c r="C13" s="18" t="str">
        <x:v>Can policy change through config without changing code, while hard invariants remain protected?</x:v>
      </x:c>
      <x:c r="D13" s="18" t="str">
        <x:v>critical</x:v>
      </x:c>
      <x:c r="E13" s="18" t="str">
        <x:v>every config/system-spec change</x:v>
      </x:c>
      <x:c r="F13" s="18" t="str">
        <x:v>dead config option; config can contradict hard invariant; override precedence not applied; new source/method type requires core rewrite; new action requires adding ad-hoc routing logic outside the canonical use-case registry</x:v>
      </x:c>
      <x:c r="G13" s="18" t="str">
        <x:v>precedence tests default/project/task; hard-invariant options cannot be overridden; every documented config key either implemented or marked reserved; unknown config behavior defined; new workflows can be added/versioned through UseCase Registry + workflow references without rewriting unrelated routers</x:v>
      </x:c>
      <x:c r="H13" s="18" t="str">
        <x:v>config tests; runtime_lib; tools using effective config</x:v>
      </x:c>
      <x:c r="I13" s="18" t="str">
        <x:v>Supported config values affect behavior as documented, and hard invariants cannot be silently overridden.</x:v>
      </x:c>
      <x:c r="J13" s="18" t="str">
        <x:v>2.0</x:v>
      </x:c>
    </x:row>
    <x:row r="14">
      <x:c r="A14" s="18" t="str">
        <x:v>AX13</x:v>
      </x:c>
      <x:c r="B14" s="18" t="str">
        <x:v>Failure, crash, concurrency &amp; recovery</x:v>
      </x:c>
      <x:c r="C14" s="18" t="str">
        <x:v>Does interruption/retry/concurrent execution avoid corrupt or contradictory state?</x:v>
      </x:c>
      <x:c r="D14" s="18" t="str">
        <x:v>critical</x:v>
      </x:c>
      <x:c r="E14" s="18" t="str">
        <x:v>every release touching writes/runtime</x:v>
      </x:c>
      <x:c r="F14" s="18" t="str">
        <x:v>partial write corrupts JSON; double finalize diverges ledger/current file; second run leaves orphan artifact; race duplicates JSONL record; checkpoint half-written</x:v>
      </x:c>
      <x:c r="G14" s="18" t="str">
        <x:v>double-execution/retry tests; failure injection between writes; atomic write strategy; lock/lease or single-writer contract; recovery/repair procedure</x:v>
      </x:c>
      <x:c r="H14" s="18" t="str">
        <x:v>failure-injection tests; write-path review</x:v>
      </x:c>
      <x:c r="I14" s="18" t="str">
        <x:v>Retries and interrupted writes are either atomic or detectably recoverable, without silent divergence.</x:v>
      </x:c>
      <x:c r="J14" s="18" t="str">
        <x:v>2.0</x:v>
      </x:c>
    </x:row>
    <x:row r="15">
      <x:c r="A15" s="18" t="str">
        <x:v>AX14</x:v>
      </x:c>
      <x:c r="B15" s="18" t="str">
        <x:v>Security, path confinement &amp; data safety</x:v>
      </x:c>
      <x:c r="C15" s="18" t="str">
        <x:v>Can untrusted project/source artifacts cause writes outside the project or unsafe data handling?</x:v>
      </x:c>
      <x:c r="D15" s="18" t="str">
        <x:v>critical</x:v>
      </x:c>
      <x:c r="E15" s="18" t="str">
        <x:v>every release touching paths/input</x:v>
      </x:c>
      <x:c r="F15" s="18" t="str">
        <x:v>ProjectIndex path traversal; archive path traversal; command injection; sensitive payload stored without policy; unsafe symlink following</x:v>
      </x:c>
      <x:c r="G15" s="18" t="str">
        <x:v>all writable pointers confined to project root; ZIP traversal defense; subprocess uses argv not shell; symlink policy; sensitive-data retention/redaction policy</x:v>
      </x:c>
      <x:c r="H15" s="18" t="str">
        <x:v>security adversarial tests; path-normalization review</x:v>
      </x:c>
      <x:c r="I15" s="18" t="str">
        <x:v>Untrusted project metadata cannot escape the project root or cause unintended execution/writes.</x:v>
      </x:c>
      <x:c r="J15" s="18" t="str">
        <x:v>2.0</x:v>
      </x:c>
    </x:row>
    <x:row r="16">
      <x:c r="A16" s="18" t="str">
        <x:v>AX15</x:v>
      </x:c>
      <x:c r="B16" s="18" t="str">
        <x:v>Schema migration &amp; backward compatibility</x:v>
      </x:c>
      <x:c r="C16" s="18" t="str">
        <x:v>Can older supported projects be opened/migrated without losing history or silently changing meaning?</x:v>
      </x:c>
      <x:c r="D16" s="18" t="str">
        <x:v>critical</x:v>
      </x:c>
      <x:c r="E16" s="18" t="str">
        <x:v>every schema/system major/minor release</x:v>
      </x:c>
      <x:c r="F16" s="18" t="str">
        <x:v>old schema silently interpreted as new; migration loses IDs/history; no supported-version matrix; migration cannot roll back/audit</x:v>
      </x:c>
      <x:c r="G16" s="18" t="str">
        <x:v>supported version matrix; migration fixtures old-&gt;new; original preserved; migration record/hash; post-migration validation</x:v>
      </x:c>
      <x:c r="H16" s="18" t="str">
        <x:v>MIGRATIONS tests; compatibility docs</x:v>
      </x:c>
      <x:c r="I16" s="18" t="str">
        <x:v>Every supported older schema has tested migration or explicit refusal.</x:v>
      </x:c>
      <x:c r="J16" s="18" t="str">
        <x:v>2.0</x:v>
      </x:c>
    </x:row>
    <x:row r="17">
      <x:c r="A17" s="18" t="str">
        <x:v>AX16</x:v>
      </x:c>
      <x:c r="B17" s="18" t="str">
        <x:v>Portability &amp; capability awareness</x:v>
      </x:c>
      <x:c r="C17" s="18" t="str">
        <x:v>Does the system behave predictably across clean environments and when capabilities are unavailable?</x:v>
      </x:c>
      <x:c r="D17" s="18" t="str">
        <x:v>standard</x:v>
      </x:c>
      <x:c r="E17" s="18" t="str">
        <x:v>every release</x:v>
      </x:c>
      <x:c r="F17" s="18" t="str">
        <x:v>absolute path makes project unusable elsewhere; Python/runtime requirement undocumented; tool assumes network/auth; missing capability reported as success</x:v>
      </x:c>
      <x:c r="G17" s="18" t="str">
        <x:v>environment prerequisites documented; relative project pointers; blocked/fallback behavior; offline tests; moved-project test</x:v>
      </x:c>
      <x:c r="H17" s="18" t="str">
        <x:v>clean-environment smoke; capability fixtures</x:v>
      </x:c>
      <x:c r="I17" s="18" t="str">
        <x:v>Required environment is explicit and unavailable capabilities become explicit blockers/fallbacks.</x:v>
      </x:c>
      <x:c r="J17" s="18" t="str">
        <x:v>2.0</x:v>
      </x:c>
    </x:row>
    <x:row r="18">
      <x:c r="A18" s="18" t="str">
        <x:v>AX17</x:v>
      </x:c>
      <x:c r="B18" s="18" t="str">
        <x:v>Performance &amp; long-term scalability</x:v>
      </x:c>
      <x:c r="C18" s="18" t="str">
        <x:v>Does daily monitoring remain usable as ledgers and projects grow?</x:v>
      </x:c>
      <x:c r="D18" s="18" t="str">
        <x:v>standard</x:v>
      </x:c>
      <x:c r="E18" s="18" t="str">
        <x:v>periodic and after ledger algorithm changes</x:v>
      </x:c>
      <x:c r="F18" s="18" t="str">
        <x:v>O(n^2) validation becomes unusable; each append rescans whole ledger; checkpoint rehash dominates runtime; memory blow-up</x:v>
      </x:c>
      <x:c r="G18" s="18" t="str">
        <x:v>declared scale target; benchmarks at target size; complexity review; incremental/index strategy where needed</x:v>
      </x:c>
      <x:c r="H18" s="18" t="str">
        <x:v>benchmark report; profiling</x:v>
      </x:c>
      <x:c r="I18" s="18" t="str">
        <x:v>Target-size benchmark stays within declared runtime/memory budget.</x:v>
      </x:c>
      <x:c r="J18" s="18" t="str">
        <x:v>2.0</x:v>
      </x:c>
    </x:row>
    <x:row r="19">
      <x:c r="A19" s="18" t="str">
        <x:v>AX18</x:v>
      </x:c>
      <x:c r="B19" s="18" t="str">
        <x:v>Observability, diagnostics &amp; repairability</x:v>
      </x:c>
      <x:c r="C19" s="18" t="str">
        <x:v>When something is wrong, can the agent/user identify cause and repair safely?</x:v>
      </x:c>
      <x:c r="D19" s="18" t="str">
        <x:v>standard</x:v>
      </x:c>
      <x:c r="E19" s="18" t="str">
        <x:v>every release touching errors/state</x:v>
      </x:c>
      <x:c r="F19" s="18" t="str">
        <x:v>typo silently treated as no data; warnings lack machine-readable code; no repair path for orphan/divergent state; partial run indistinguishable from empty result</x:v>
      </x:c>
      <x:c r="G19" s="18" t="str">
        <x:v>structured errors/warnings; invalid explicit IDs fail fast; repair/status commands; coverage/failure visible by date</x:v>
      </x:c>
      <x:c r="H19" s="18" t="str">
        <x:v>CLI negative tests; daily status/repair walkthrough</x:v>
      </x:c>
      <x:c r="I19" s="18" t="str">
        <x:v>Common faults produce explicit, actionable diagnostics and do not silently degrade semantics.</x:v>
      </x:c>
      <x:c r="J19" s="18" t="str">
        <x:v>2.0</x:v>
      </x:c>
    </x:row>
    <x:row r="20">
      <x:c r="A20" s="18" t="str">
        <x:v>AX19</x:v>
      </x:c>
      <x:c r="B20" s="18" t="str">
        <x:v>Test-suite quality &amp; refactor resilience</x:v>
      </x:c>
      <x:c r="C20" s="18" t="str">
        <x:v>Are tests trustworthy: reliable, low-noise, maintainable and resistant to semantic-preserving refactors?</x:v>
      </x:c>
      <x:c r="D20" s="18" t="str">
        <x:v>critical</x:v>
      </x:c>
      <x:c r="E20" s="18" t="str">
        <x:v>every release</x:v>
      </x:c>
      <x:c r="F20" s="18" t="str">
        <x:v>validator always passes; tests assert formatting/paths; critical invariant untested; flaky wall-clock/network test; false positive/false negative not covered</x:v>
      </x:c>
      <x:c r="G20" s="18" t="str">
        <x:v>hermetic/frozen-clock suite; mutation tests; metamorphic tests; negative fixtures; coverage map from axes/invariants to tests; standard validator runs tests or release gate does; use-case registry integrity + entrypoint routing regression tests</x:v>
      </x:c>
      <x:c r="H20" s="18" t="str">
        <x:v>unit/integration/adversarial test runs; test matrix</x:v>
      </x:c>
      <x:c r="I20" s="18" t="str">
        <x:v>Each critical invariant has at least one positive and negative/mutation check; release gate runs the suite.</x:v>
      </x:c>
      <x:c r="J20" s="18" t="str">
        <x:v>2.0</x:v>
      </x:c>
    </x:row>
    <x:row r="21">
      <x:c r="A21" s="18" t="str">
        <x:v>AX20</x:v>
      </x:c>
      <x:c r="B21" s="18" t="str">
        <x:v>Release, artifact &amp; documentation integrity</x:v>
      </x:c>
      <x:c r="C21" s="18" t="str">
        <x:v>Does the shipped archive exactly match its manifest, docs, workbook contract and claimed tested state?</x:v>
      </x:c>
      <x:c r="D21" s="18" t="str">
        <x:v>critical</x:v>
      </x:c>
      <x:c r="E21" s="18" t="str">
        <x:v>every packaged release</x:v>
      </x:c>
      <x:c r="F21" s="18" t="str">
        <x:v>stale manifest hash; missing manifest-listed file not detected; docs promise behavior not implemented; workbook sheet missing; release says tests pass but gate did not run</x:v>
      </x:c>
      <x:c r="G21" s="18" t="str">
        <x:v>manifest completeness + missing/hash checks; ZIP integrity; docs/contracts consistency; workbook formula/sheet scan; release gate includes validators/tests/audit; canonical use-case registry/workflows/docs/workbook view agree</x:v>
      </x:c>
      <x:c r="H21" s="18" t="str">
        <x:v>release audit; manifest verifier; workbook scan</x:v>
      </x:c>
      <x:c r="I21" s="18" t="str">
        <x:v>Packaged bytes, manifest, contracts, workbook and test report agree.</x:v>
      </x:c>
      <x:c r="J21" s="18" t="str">
        <x:v>2.0</x:v>
      </x:c>
    </x:row>
    <x:row r="22">
      <x:c r="A22" s="18" t="str">
        <x:v>AX21</x:v>
      </x:c>
      <x:c r="B22" s="18" t="str">
        <x:v>Use-case routing correctness &amp; determinism</x:v>
      </x:c>
      <x:c r="C22" s="18" t="str">
        <x:v>Does a request plus current project state route to the intended use case, with ambiguity/no-match handled explicitly?</x:v>
      </x:c>
      <x:c r="D22" s="18" t="str">
        <x:v>critical</x:v>
      </x:c>
      <x:c r="E22" s="18" t="str">
        <x:v>every release that changes use cases, routing metadata, entrypoint behavior or supported languages</x:v>
      </x:c>
      <x:c r="F22" s="18" t="str">
        <x:v>same request routes differently without relevant state change; state-sensitive request ignores project state; ambiguous request is silently assigned arbitrarily; supported-language request cannot be routed; methods/sources are selected before a use case</x:v>
      </x:c>
      <x:c r="G22" s="18" t="str">
        <x:v>representative routing fixture corpus; state-sensitive routing fixtures (new vs baseline; discovery vs rediscovery; monitor vs novelty); ambiguity/no-match fixtures; supported-language fixtures; router-first entrypoint check</x:v>
      </x:c>
      <x:c r="H22" s="18" t="str">
        <x:v>CORE/USE_CASE_REGISTRY.json; START_HERE_AGENT.md; routing fixture corpus; route helper/agent routing test results</x:v>
      </x:c>
      <x:c r="I22" s="18" t="str">
        <x:v>Representative requests route to exactly the expected use case or an explicit ambiguity/no-match path; routing is state-aware and supported-language coverage is tested.</x:v>
      </x:c>
      <x:c r="J22" s="18" t="str">
        <x:v>2.0</x:v>
      </x:c>
    </x:row>
    <x:row r="23">
      <x:c r="A23" s="18" t="str">
        <x:v>AX22</x:v>
      </x:c>
      <x:c r="B23" s="18" t="str">
        <x:v>Use-case boundaries, orthogonality &amp; coverage</x:v>
      </x:c>
      <x:c r="C23" s="18" t="str">
        <x:v>Are use cases meaningfully distinct, with intentional overlap documented and intended action classes covered?</x:v>
      </x:c>
      <x:c r="D23" s="18" t="str">
        <x:v>standard</x:v>
      </x:c>
      <x:c r="E23" s="18" t="str">
        <x:v>every use-case addition/removal/merge and architecture review</x:v>
      </x:c>
      <x:c r="F23" s="18" t="str">
        <x:v>two use cases own the same user intent; meta/internal operations are indistinguishable from user-facing workflows; gaps require ad-hoc workflows; overlap depends on undocumented intuition</x:v>
      </x:c>
      <x:c r="G23" s="18" t="str">
        <x:v>pairwise boundary review using intent/trigger/not_when/preconditions; classify use-case kind (domain/lifecycle/internal/governance or equivalent); coverage review against supported action inventory; orphan/unreachable review; no-match governance check</x:v>
      </x:c>
      <x:c r="H23" s="18" t="str">
        <x:v>CORE/USE_CASE_REGISTRY.json; USE_CASES/ workflows; supported-use-case inventory; routing fixtures</x:v>
      </x:c>
      <x:c r="I23" s="18" t="str">
        <x:v>Every supported action has one primary owner; overlaps are intentional and disambiguated; internal/meta workflows are explicitly distinguished; unsupported actions use the declared no-match governance path.</x:v>
      </x:c>
      <x:c r="J23" s="18" t="str">
        <x:v>2.0</x:v>
      </x:c>
    </x:row>
    <x:row r="24">
      <x:c r="A24" s="18" t="str">
        <x:v>AX23</x:v>
      </x:c>
      <x:c r="B24" s="18" t="str">
        <x:v>Workflow composition, transitions &amp; closure</x:v>
      </x:c>
      <x:c r="C24" s="18" t="str">
        <x:v>Can use cases compose into deterministic workflows with explicit entry conditions, exit conditions and guarded transitions?</x:v>
      </x:c>
      <x:c r="D24" s="18" t="str">
        <x:v>critical</x:v>
      </x:c>
      <x:c r="E24" s="18" t="str">
        <x:v>every workflow/transition change</x:v>
      </x:c>
      <x:c r="F24" s="18" t="str">
        <x:v>multiple next routes have no selection condition; workflow can terminate without acceptance/checkpoint/block state; cycles have no guard or progress condition; failure route is implicit; composition depends on hidden chat context</x:v>
      </x:c>
      <x:c r="G24" s="18" t="str">
        <x:v>machine-readable preconditions or equivalent; machine-readable postconditions/acceptance ownership; guarded next transitions; cycle/dead-end analysis; failure/block/repair transition fixtures; clean-chat continuation through composed flows</x:v>
      </x:c>
      <x:c r="H24" s="18" t="str">
        <x:v>CORE/USE_CASE_REGISTRY.json; USE_CASES/ workflows; RUN_STATE schema; Task Manifest schema; transition tests</x:v>
      </x:c>
      <x:c r="I24" s="18" t="str">
        <x:v>Each workflow has explicit entry/exit semantics and every multi-route transition is guarded; valid flows reach acceptance/checkpoint or an explicit blocked/repair state without hidden context.</x:v>
      </x:c>
      <x:c r="J24" s="18" t="str">
        <x:v>2.0</x:v>
      </x:c>
    </x:row>
    <x:row r="25">
      <x:c r="A25" s="18" t="str">
        <x:v>AX24</x:v>
      </x:c>
      <x:c r="B25" s="18" t="str">
        <x:v>DRY, canonical ownership &amp; derived-view integrity</x:v>
      </x:c>
      <x:c r="C25" s="18" t="str">
        <x:v>Is each mutable behavioral concept defined once, with duplicate human/workbook views mechanically derived or parity-validated?</x:v>
      </x:c>
      <x:c r="D25" s="18" t="str">
        <x:v>critical</x:v>
      </x:c>
      <x:c r="E25" s="18" t="str">
        <x:v>every architecture/documentation/router change</x:v>
      </x:c>
      <x:c r="F25" s="18" t="str">
        <x:v>routing metadata duplicated manually across registry/workflows/docs; method rules copied into use cases; source priority duplicated outside source registry/use plan; derived docs drift from canonical data; two editable artifacts can change the same behavior independently</x:v>
      </x:c>
      <x:c r="G25" s="18" t="str">
        <x:v>single-owner matrix for mutable concepts; duplicate-field scan across canonical/derived artifacts; generated-or-parity-tested derived views; workflow docs do not independently redefine routing metadata; state/action ownership check</x:v>
      </x:c>
      <x:c r="H25" s="18" t="str">
        <x:v>CORE/USE_CASE_REGISTRY.json; CORE/USE_CASE_ARCHITECTURE.md; USE_CASES/; START_HERE_AGENT.md; REFERENCE views; parity tests/generators</x:v>
      </x:c>
      <x:c r="I25" s="18" t="str">
        <x:v>Every mutable behavior has one canonical owner; any repeated representation is generated or automatically parity-checked and cannot silently become a competing contract.</x:v>
      </x:c>
      <x:c r="J25" s="18" t="str">
        <x:v>2.0</x:v>
      </x:c>
    </x:row>
    <x:row r="26">
      <x:c r="A26" s="18" t="str">
        <x:v>AX25</x:v>
      </x:c>
      <x:c r="B26" s="18" t="str">
        <x:v>End-to-end action and evidence traceability</x:v>
      </x:c>
      <x:c r="C26" s="18" t="str">
        <x:v>Can the system reconstruct why a request chose a use case and how that invocation produced each important output?</x:v>
      </x:c>
      <x:c r="D26" s="18" t="str">
        <x:v>standard</x:v>
      </x:c>
      <x:c r="E26" s="18" t="str">
        <x:v>every Task Manifest/routing/output-lineage change</x:v>
      </x:c>
      <x:c r="F26" s="18" t="str">
        <x:v>cannot explain why a use case was selected; output lacks task/method/source lineage; handoff loses invocation lineage; migration severs route/task lineage</x:v>
      </x:c>
      <x:c r="G26" s="18" t="str">
        <x:v>request/intent or route-reason reference retained; use_case_id + task_instance_key retained; method/version and source route IDs retained; output/observation/measurement links back to invocation; checkpoint/migration preserve lineage</x:v>
      </x:c>
      <x:c r="H26" s="18" t="str">
        <x:v>Task Manifest schema; RUN_STATE/HANDOFF schemas; observation/measurement schemas; dependency graph; lineage fixtures</x:v>
      </x:c>
      <x:c r="I26" s="18" t="str">
        <x:v>For every decision-relevant output, the system can reconstruct request/route rationale, use case, task instance, method/version, source inputs and acceptance/checkpoint lineage.</x:v>
      </x:c>
      <x:c r="J26" s="18" t="str">
        <x:v>2.0</x:v>
      </x:c>
    </x:row>
    <x:row r="27">
      <x:c r="A27" s="18" t="str">
        <x:v>AX26</x:v>
      </x:c>
      <x:c r="B27" s="18" t="str">
        <x:v>Architecture simplicity &amp; complexity budget</x:v>
      </x:c>
      <x:c r="C27" s="18" t="str">
        <x:v>Is the architecture no more complex than necessary for its supported use cases, with every layer/registry earning a distinct responsibility?</x:v>
      </x:c>
      <x:c r="D27" s="18" t="str">
        <x:v>standard</x:v>
      </x:c>
      <x:c r="E27" s="18" t="str">
        <x:v>quarterly and every major architecture change</x:v>
      </x:c>
      <x:c r="F27" s="18" t="str">
        <x:v>wrapper-only use cases add no semantic value; registries mirror one another; common action requires loading many unrelated artifacts; new behavior requires edits across multiple routers; complexity grows without declared budget/measurement</x:v>
      </x:c>
      <x:c r="G27" s="18" t="str">
        <x:v>inventory layers/registries/use cases and unique responsibility; wrapper/delegation-only workflow review; common-path context-load review; orphan/unreachable artifact review; change-amplification test for adding one use case; declared complexity metrics/budget or documented rationale</x:v>
      </x:c>
      <x:c r="H27" s="18" t="str">
        <x:v>CORE/USE_CASE_ARCHITECTURE.md; CORE/USE_CASE_REGISTRY.json; ProjectIndex; workflow/reference graph; architecture metrics</x:v>
      </x:c>
      <x:c r="I27" s="18" t="str">
        <x:v>No redundant architectural layer is found; common flows use a small intentional dependency set; adding/changing one use case does not require editing unrelated routers; complexity is measured or explicitly justified.</x:v>
      </x:c>
      <x:c r="J27" s="18" t="str">
        <x:v>2.0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4" hidden="0" customWidth="1"/>
    <x:col min="4" max="4" width="16" hidden="0" customWidth="1"/>
    <x:col min="5" max="5" width="28" hidden="0" customWidth="1"/>
    <x:col min="6" max="6" width="80" hidden="0" customWidth="1"/>
  </x:cols>
  <x:sheetData>
    <x:row r="1">
      <x:c r="A1" s="36" t="str">
        <x:v>System Audit — v1.5.0 — 2026-09-30</x:v>
      </x:c>
      <x:c r="B1" s="36"/>
      <x:c r="C1" s="36"/>
      <x:c r="D1" s="36"/>
      <x:c r="E1" s="36"/>
      <x:c r="F1" s="36"/>
      <x:c r="G1" s="36"/>
      <x:c r="H1" s="36"/>
    </x:row>
    <x:row r="3">
      <x:c r="A3" s="33" t="str">
        <x:v>Field</x:v>
      </x:c>
      <x:c r="B3" s="33" t="str">
        <x:v>Value</x:v>
      </x:c>
    </x:row>
    <x:row r="4">
      <x:c r="A4" s="18" t="str">
        <x:v>Audit framework</x:v>
      </x:c>
      <x:c r="B4" s="18" t="str">
        <x:v>1.0</x:v>
      </x:c>
    </x:row>
    <x:row r="5">
      <x:c r="A5" s="18" t="str">
        <x:v>Target system</x:v>
      </x:c>
      <x:c r="B5" s="18" t="str">
        <x:v>1.5.0</x:v>
      </x:c>
    </x:row>
    <x:row r="6">
      <x:c r="A6" s="18" t="str">
        <x:v>Audit clear</x:v>
      </x:c>
      <x:c r="B6" s="18" t="str">
        <x:v>NO</x:v>
      </x:c>
    </x:row>
    <x:row r="7">
      <x:c r="A7" s="18" t="str">
        <x:v>Release gate</x:v>
      </x:c>
      <x:c r="B7" s="18" t="str">
        <x:v>FAIL</x:v>
      </x:c>
    </x:row>
    <x:row r="8">
      <x:c r="A8" s="18" t="str">
        <x:v>Reason</x:v>
      </x:c>
      <x:c r="B8" s="18" t="str">
        <x:v>Critical/high release-gate failures exist; notably AX14 path confinement plus AX02/03/05/06/11/12/13/15/19/20 failures.</x:v>
      </x:c>
    </x:row>
    <x:row r="10">
      <x:c r="A10" s="33" t="str">
        <x:v>Axis</x:v>
      </x:c>
      <x:c r="B10" s="33" t="str">
        <x:v>Name</x:v>
      </x:c>
      <x:c r="C10" s="33" t="str">
        <x:v>Status</x:v>
      </x:c>
      <x:c r="D10" s="33" t="str">
        <x:v>Max severity</x:v>
      </x:c>
      <x:c r="E10" s="33" t="str">
        <x:v>Findings</x:v>
      </x:c>
      <x:c r="F10" s="33" t="str">
        <x:v>Summary</x:v>
      </x:c>
    </x:row>
    <x:row r="11">
      <x:c r="A11" s="18" t="str">
        <x:v>AX01</x:v>
      </x:c>
      <x:c r="B11" s="18" t="str">
        <x:v>Purpose &amp; decision fitness</x:v>
      </x:c>
      <x:c r="C11" s="18" t="str">
        <x:v>pass</x:v>
      </x:c>
      <x:c r="D11" s="18" t="str">
        <x:v>none</x:v>
      </x:c>
      <x:c r="E11" s="18" t="str"/>
      <x:c r="F11" s="18" t="str">
        <x:v>Research contract, atomicity and decision separation are well specified; no direct purpose-drift defect was demonstrated in this audit.</x:v>
      </x:c>
    </x:row>
    <x:row r="12">
      <x:c r="A12" s="18" t="str">
        <x:v>AX02</x:v>
      </x:c>
      <x:c r="B12" s="18" t="str">
        <x:v>Authority, pointers &amp; state consistency</x:v>
      </x:c>
      <x:c r="C12" s="18" t="str">
        <x:v>fail</x:v>
      </x:c>
      <x:c r="D12" s="18" t="str">
        <x:v>high</x:v>
      </x:c>
      <x:c r="E12" s="18" t="str">
        <x:v>F002, F015</x:v>
      </x:c>
      <x:c r="F12" s="18" t="str">
        <x:v>Canonical state model exists, but required-core enforcement and task acceptance/state synchronization are incomplete.</x:v>
      </x:c>
    </x:row>
    <x:row r="13">
      <x:c r="A13" s="18" t="str">
        <x:v>AX03</x:v>
      </x:c>
      <x:c r="B13" s="18" t="str">
        <x:v>Schema, enums &amp; version integrity</x:v>
      </x:c>
      <x:c r="C13" s="18" t="str">
        <x:v>fail</x:v>
      </x:c>
      <x:c r="D13" s="18" t="str">
        <x:v>high</x:v>
      </x:c>
      <x:c r="E13" s="18" t="str">
        <x:v>F010, F019</x:v>
      </x:c>
      <x:c r="F13" s="18" t="str">
        <x:v>Schema artifacts exist but runtime validation is not schema-driven; malformed enums pass.</x:v>
      </x:c>
    </x:row>
    <x:row r="14">
      <x:c r="A14" s="18" t="str">
        <x:v>AX04</x:v>
      </x:c>
      <x:c r="B14" s="18" t="str">
        <x:v>Identity, deduplication &amp; idempotency</x:v>
      </x:c>
      <x:c r="C14" s="18" t="str">
        <x:v>partial</x:v>
      </x:c>
      <x:c r="D14" s="18" t="str">
        <x:v>medium</x:v>
      </x:c>
      <x:c r="E14" s="18" t="str">
        <x:v>F012</x:v>
      </x:c>
      <x:c r="F14" s="18" t="str">
        <x:v>Replay idempotency works, but canonical identity/provenance semantics are incomplete and different-source observations can collapse.</x:v>
      </x:c>
    </x:row>
    <x:row r="15">
      <x:c r="A15" s="18" t="str">
        <x:v>AX05</x:v>
      </x:c>
      <x:c r="B15" s="18" t="str">
        <x:v>Temporal correctness &amp; daily history</x:v>
      </x:c>
      <x:c r="C15" s="18" t="str">
        <x:v>fail</x:v>
      </x:c>
      <x:c r="D15" s="18" t="str">
        <x:v>high</x:v>
      </x:c>
      <x:c r="E15" s="18" t="str">
        <x:v>F005, F006</x:v>
      </x:c>
      <x:c r="F15" s="18" t="str">
        <x:v>Core not-seen/closure rule is tested, but gap-day lifecycle classification and finalization integrity are incorrect.</x:v>
      </x:c>
    </x:row>
    <x:row r="16">
      <x:c r="A16" s="18" t="str">
        <x:v>AX06</x:v>
      </x:c>
      <x:c r="B16" s="18" t="str">
        <x:v>Method/scope/source-route comparability</x:v>
      </x:c>
      <x:c r="C16" s="18" t="str">
        <x:v>fail</x:v>
      </x:c>
      <x:c r="D16" s="18" t="str">
        <x:v>high</x:v>
      </x:c>
      <x:c r="E16" s="18" t="str">
        <x:v>F004, F016, F017, F018</x:v>
      </x:c>
      <x:c r="F16" s="18" t="str">
        <x:v>Method/version and scope are partly checked, but source routes/declared compatibility are not; non-comparable events are still emitted.</x:v>
      </x:c>
    </x:row>
    <x:row r="17">
      <x:c r="A17" s="18" t="str">
        <x:v>AX07</x:v>
      </x:c>
      <x:c r="B17" s="18" t="str">
        <x:v>Source, provenance &amp; evidence traceability</x:v>
      </x:c>
      <x:c r="C17" s="18" t="str">
        <x:v>partial</x:v>
      </x:c>
      <x:c r="D17" s="18" t="str">
        <x:v>high</x:v>
      </x:c>
      <x:c r="E17" s="18" t="str">
        <x:v>F025</x:v>
      </x:c>
      <x:c r="F17" s="18" t="str">
        <x:v>Source/evidence model is conceptually strong, but traceability is not enforced and temporal default dedup can lose provenance.</x:v>
      </x:c>
    </x:row>
    <x:row r="18">
      <x:c r="A18" s="18" t="str">
        <x:v>AX08</x:v>
      </x:c>
      <x:c r="B18" s="18" t="str">
        <x:v>Sampling &amp; measurement validity</x:v>
      </x:c>
      <x:c r="C18" s="18" t="str">
        <x:v>partial</x:v>
      </x:c>
      <x:c r="D18" s="18" t="str">
        <x:v>medium</x:v>
      </x:c>
      <x:c r="E18" s="18" t="str">
        <x:v>F026</x:v>
      </x:c>
      <x:c r="F18" s="18" t="str">
        <x:v>Sampling rules are strong in documentation, weak in executable validation.</x:v>
      </x:c>
    </x:row>
    <x:row r="19">
      <x:c r="A19" s="18" t="str">
        <x:v>AX09</x:v>
      </x:c>
      <x:c r="B19" s="18" t="str">
        <x:v>Economics &amp; effort validity</x:v>
      </x:c>
      <x:c r="C19" s="18" t="str">
        <x:v>partial</x:v>
      </x:c>
      <x:c r="D19" s="18" t="str">
        <x:v>medium</x:v>
      </x:c>
      <x:c r="E19" s="18" t="str">
        <x:v>F030</x:v>
      </x:c>
      <x:c r="F19" s="18" t="str">
        <x:v>Economics model preserves low payouts and missingness conceptually; derived-metric prerequisites are not enforced.</x:v>
      </x:c>
    </x:row>
    <x:row r="20">
      <x:c r="A20" s="18" t="str">
        <x:v>AX10</x:v>
      </x:c>
      <x:c r="B20" s="18" t="str">
        <x:v>Dependency graph &amp; change propagation</x:v>
      </x:c>
      <x:c r="C20" s="18" t="str">
        <x:v>partial</x:v>
      </x:c>
      <x:c r="D20" s="18" t="str">
        <x:v>medium</x:v>
      </x:c>
      <x:c r="E20" s="18" t="str">
        <x:v>F027</x:v>
      </x:c>
      <x:c r="F20" s="18" t="str">
        <x:v>Dependency graph exists and has a traversal tool, but graph correctness and change integration are not validated.</x:v>
      </x:c>
    </x:row>
    <x:row r="21">
      <x:c r="A21" s="18" t="str">
        <x:v>AX11</x:v>
      </x:c>
      <x:c r="B21" s="18" t="str">
        <x:v>Bootstrap, reuse, handoff &amp; reproducibility</x:v>
      </x:c>
      <x:c r="C21" s="18" t="str">
        <x:v>fail</x:v>
      </x:c>
      <x:c r="D21" s="18" t="str">
        <x:v>high</x:v>
      </x:c>
      <x:c r="E21" s="18" t="str">
        <x:v>F003, F028</x:v>
      </x:c>
      <x:c r="F21" s="18" t="str">
        <x:v>Basic smoke/bootstrap paths work, but canonical workbook pointer is broken in refresh cycles and required artifact completeness is inconsistent.</x:v>
      </x:c>
    </x:row>
    <x:row r="22">
      <x:c r="A22" s="18" t="str">
        <x:v>AX12</x:v>
      </x:c>
      <x:c r="B22" s="18" t="str">
        <x:v>Configurability &amp; extensibility</x:v>
      </x:c>
      <x:c r="C22" s="18" t="str">
        <x:v>fail</x:v>
      </x:c>
      <x:c r="D22" s="18" t="str">
        <x:v>high</x:v>
      </x:c>
      <x:c r="E22" s="18" t="str">
        <x:v>F014, F031</x:v>
      </x:c>
      <x:c r="F22" s="18" t="str">
        <x:v>Precedence implementation exists, but config contains contradictory/dead options and lacks behavior-coverage tests.</x:v>
      </x:c>
    </x:row>
    <x:row r="23">
      <x:c r="A23" s="18" t="str">
        <x:v>AX13</x:v>
      </x:c>
      <x:c r="B23" s="18" t="str">
        <x:v>Failure, crash, concurrency &amp; recovery</x:v>
      </x:c>
      <x:c r="C23" s="18" t="str">
        <x:v>fail</x:v>
      </x:c>
      <x:c r="D23" s="18" t="str">
        <x:v>high</x:v>
      </x:c>
      <x:c r="E23" s="18" t="str">
        <x:v>F007, F008, F021</x:v>
      </x:c>
      <x:c r="F23" s="18" t="str">
        <x:v>Retries/concurrency are not crash-safe; direct evidence shows divergent and orphan artifacts.</x:v>
      </x:c>
    </x:row>
    <x:row r="24">
      <x:c r="A24" s="18" t="str">
        <x:v>AX14</x:v>
      </x:c>
      <x:c r="B24" s="18" t="str">
        <x:v>Security, path confinement &amp; data safety</x:v>
      </x:c>
      <x:c r="C24" s="18" t="str">
        <x:v>fail</x:v>
      </x:c>
      <x:c r="D24" s="18" t="str">
        <x:v>critical</x:v>
      </x:c>
      <x:c r="E24" s="18" t="str">
        <x:v>F009</x:v>
      </x:c>
      <x:c r="F24" s="18" t="str">
        <x:v>Direct path traversal write outside project root is a release-blocking safety defect.</x:v>
      </x:c>
    </x:row>
    <x:row r="25">
      <x:c r="A25" s="18" t="str">
        <x:v>AX15</x:v>
      </x:c>
      <x:c r="B25" s="18" t="str">
        <x:v>Schema migration &amp; backward compatibility</x:v>
      </x:c>
      <x:c r="C25" s="18" t="str">
        <x:v>fail</x:v>
      </x:c>
      <x:c r="D25" s="18" t="str">
        <x:v>high</x:v>
      </x:c>
      <x:c r="E25" s="18" t="str">
        <x:v>F020</x:v>
      </x:c>
      <x:c r="F25" s="18" t="str">
        <x:v>Migration behavior is promised but not implemented/tested.</x:v>
      </x:c>
    </x:row>
    <x:row r="26">
      <x:c r="A26" s="18" t="str">
        <x:v>AX16</x:v>
      </x:c>
      <x:c r="B26" s="18" t="str">
        <x:v>Portability &amp; capability awareness</x:v>
      </x:c>
      <x:c r="C26" s="18" t="str">
        <x:v>partial</x:v>
      </x:c>
      <x:c r="D26" s="18" t="str">
        <x:v>low</x:v>
      </x:c>
      <x:c r="E26" s="18" t="str">
        <x:v>F029</x:v>
      </x:c>
      <x:c r="F26" s="18" t="str">
        <x:v>Core tools are mostly stdlib/offline, but environment requirements and artifact portability are under-specified.</x:v>
      </x:c>
    </x:row>
    <x:row r="27">
      <x:c r="A27" s="18" t="str">
        <x:v>AX17</x:v>
      </x:c>
      <x:c r="B27" s="18" t="str">
        <x:v>Performance &amp; long-term scalability</x:v>
      </x:c>
      <x:c r="C27" s="18" t="str">
        <x:v>partial</x:v>
      </x:c>
      <x:c r="D27" s="18" t="str">
        <x:v>medium</x:v>
      </x:c>
      <x:c r="E27" s="18" t="str">
        <x:v>F022</x:v>
      </x:c>
      <x:c r="F27" s="18" t="str">
        <x:v>No scale target/benchmarks; several algorithms rescan full history or are quadratic.</x:v>
      </x:c>
    </x:row>
    <x:row r="28">
      <x:c r="A28" s="18" t="str">
        <x:v>AX18</x:v>
      </x:c>
      <x:c r="B28" s="18" t="str">
        <x:v>Observability, diagnostics &amp; repairability</x:v>
      </x:c>
      <x:c r="C28" s="18" t="str">
        <x:v>partial</x:v>
      </x:c>
      <x:c r="D28" s="18" t="str">
        <x:v>medium</x:v>
      </x:c>
      <x:c r="E28" s="18" t="str">
        <x:v>F013, F032</x:v>
      </x:c>
      <x:c r="F28" s="18" t="str">
        <x:v>Status tooling exists, but some operator mistakes are silently degraded and repair tooling is absent.</x:v>
      </x:c>
    </x:row>
    <x:row r="29">
      <x:c r="A29" s="18" t="str">
        <x:v>AX19</x:v>
      </x:c>
      <x:c r="B29" s="18" t="str">
        <x:v>Test-suite quality &amp; refactor resilience</x:v>
      </x:c>
      <x:c r="C29" s="18" t="str">
        <x:v>fail</x:v>
      </x:c>
      <x:c r="D29" s="18" t="str">
        <x:v>high</x:v>
      </x:c>
      <x:c r="E29" s="18" t="str">
        <x:v>F023, F024</x:v>
      </x:c>
      <x:c r="F29" s="18" t="str">
        <x:v>Existing 9 tests are deterministic and useful, but critical invariants remain uncovered and release validator does not execute the suite.</x:v>
      </x:c>
    </x:row>
    <x:row r="30">
      <x:c r="A30" t="str">
        <x:v>AX20</x:v>
      </x:c>
      <x:c r="B30" t="str">
        <x:v>Release, artifact &amp; documentation integrity</x:v>
      </x:c>
      <x:c r="C30" t="str">
        <x:v>fail</x:v>
      </x:c>
      <x:c r="D30" t="str">
        <x:v>high</x:v>
      </x:c>
      <x:c r="E30" t="str">
        <x:v>F001, F011</x:v>
      </x:c>
      <x:c r="F30" t="str">
        <x:v>Workbook/system validators pass, but release manifest is already stale and integrity checks are incomplete.</x:v>
      </x:c>
    </x:row>
  </x:sheetData>
  <x:mergeCells>
    <x:mergeCell ref="A1:H1"/>
  </x:mergeCells>
  <x:conditionalFormatting sqref="C11:C30">
    <x:cfRule type="expression" dxfId="0" priority="1">
      <x:formula>C11="fail"</x:formula>
    </x:cfRule>
    <x:cfRule type="expression" dxfId="1" priority="2">
      <x:formula>C11="partial"</x:formula>
    </x:cfRule>
    <x:cfRule type="expression" dxfId="2" priority="3">
      <x:formula>C11="pass"</x:formula>
    </x:cfRule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48" hidden="0" customWidth="1"/>
    <x:col min="5" max="5" width="70" hidden="0" customWidth="1"/>
    <x:col min="6" max="6" width="58" hidden="0" customWidth="1"/>
    <x:col min="7" max="7" width="55" hidden="0" customWidth="1"/>
    <x:col min="8" max="8" width="14" hidden="0" customWidth="1"/>
  </x:cols>
  <x:sheetData>
    <x:row r="1">
      <x:c r="A1" s="33" t="str">
        <x:v>Finding</x:v>
      </x:c>
      <x:c r="B1" s="33" t="str">
        <x:v>Axis</x:v>
      </x:c>
      <x:c r="C1" s="33" t="str">
        <x:v>Severity</x:v>
      </x:c>
      <x:c r="D1" s="33" t="str">
        <x:v>Title</x:v>
      </x:c>
      <x:c r="E1" s="33" t="str">
        <x:v>Evidence</x:v>
      </x:c>
      <x:c r="F1" s="33" t="str">
        <x:v>Impact</x:v>
      </x:c>
      <x:c r="G1" s="33" t="str">
        <x:v>Reproduce</x:v>
      </x:c>
      <x:c r="H1" s="33" t="str">
        <x:v>Priority rank</x:v>
      </x:c>
    </x:row>
    <x:row r="2">
      <x:c r="A2" s="18" t="str">
        <x:v>F001</x:v>
      </x:c>
      <x:c r="B2" s="18" t="str">
        <x:v>AX20</x:v>
      </x:c>
      <x:c r="C2" s="18" t="str">
        <x:v>high</x:v>
      </x:c>
      <x:c r="D2" s="18" t="str">
        <x:v>Release manifest is stale and system validator does not detect it</x:v>
      </x:c>
      <x:c r="E2" s="18" t="str">
        <x:v>MANIFEST.json hash for README.md differs from current bytes; validate_system.py still returns OK.</x:v>
      </x:c>
      <x:c r="F2" s="18" t="str">
        <x:v>A packaged release can be modified/stale while release validation remains green.</x:v>
      </x:c>
      <x:c r="G2" s="18" t="str">
        <x:v>Compare SHA256 from MANIFEST.json to README.md, then run TOOLS/validate_system.py.</x:v>
      </x:c>
      <x:c r="H2" s="18" t="n">
        <x:v>10</x:v>
      </x:c>
    </x:row>
    <x:row r="3">
      <x:c r="A3" s="18" t="str">
        <x:v>F002</x:v>
      </x:c>
      <x:c r="B3" s="18" t="str">
        <x:v>AX02</x:v>
      </x:c>
      <x:c r="C3" s="18" t="str">
        <x:v>high</x:v>
      </x:c>
      <x:c r="D3" s="18" t="str">
        <x:v>init_project violates declared required-core contract</x:v>
      </x:c>
      <x:c r="E3" s="18" t="str">
        <x:v>CORE/SYSTEM_SPEC.json declares MANIFEST.json required; init_project does not create it; validate_project returns OK with warning only.</x:v>
      </x:c>
      <x:c r="F3" s="18" t="str">
        <x:v>A project can be declared valid while missing a declared required core artifact.</x:v>
      </x:c>
      <x:c r="G3" s="18" t="str">
        <x:v>init_project -&gt; validate_project; inspect project_required_core.</x:v>
      </x:c>
      <x:c r="H3" s="18" t="n">
        <x:v>17</x:v>
      </x:c>
    </x:row>
    <x:row r="4">
      <x:c r="A4" s="18" t="str">
        <x:v>F003</x:v>
      </x:c>
      <x:c r="B4" s="18" t="str">
        <x:v>AX11</x:v>
      </x:c>
      <x:c r="C4" s="18" t="str">
        <x:v>high</x:v>
      </x:c>
      <x:c r="D4" s="18" t="str">
        <x:v>Baseline bootstrap workbook pointer is broken</x:v>
      </x:c>
      <x:c r="E4" s="18" t="str">
        <x:v>init_baseline_cycle/bootstrap_cycle create research_cycle.xlsx, while copied PROJECT_INDEX.json points to research.xlsx.</x:v>
      </x:c>
      <x:c r="F4" s="18" t="str">
        <x:v>Clean-chat bootstrap cannot reliably resolve the workbook through its canonical pointer.</x:v>
      </x:c>
      <x:c r="G4" s="18" t="str">
        <x:v>Run init_baseline_cycle and compare PROJECT_INDEX artifacts.workbook with files.</x:v>
      </x:c>
      <x:c r="H4" s="18" t="n">
        <x:v>7</x:v>
      </x:c>
    </x:row>
    <x:row r="5">
      <x:c r="A5" s="18" t="str">
        <x:v>F004</x:v>
      </x:c>
      <x:c r="B5" s="18" t="str">
        <x:v>AX06</x:v>
      </x:c>
      <x:c r="C5" s="18" t="str">
        <x:v>high</x:v>
      </x:c>
      <x:c r="D5" s="18" t="str">
        <x:v>Source-route changes are ignored by comparability gate</x:v>
      </x:c>
      <x:c r="E5" s="18" t="str">
        <x:v>Two runs with identical method/scope but different source_route_ids are marked comparable.</x:v>
      </x:c>
      <x:c r="F5" s="18" t="str">
        <x:v>A change in source routing can be misreported as market change.</x:v>
      </x:c>
      <x:c r="G5" s="18" t="str">
        <x:v>ADVERSARIAL case source_route_comparability.</x:v>
      </x:c>
      <x:c r="H5" s="18" t="n">
        <x:v>4</x:v>
      </x:c>
    </x:row>
    <x:row r="6">
      <x:c r="A6" s="18" t="str">
        <x:v>F005</x:v>
      </x:c>
      <x:c r="B6" s="18" t="str">
        <x:v>AX05</x:v>
      </x:c>
      <x:c r="C6" s="18" t="str">
        <x:v>high</x:v>
      </x:c>
      <x:c r="D6" s="18" t="str">
        <x:v>Previously seen entity can be falsely classified as new after a gap day</x:v>
      </x:c>
      <x:c r="E6" s="18" t="str">
        <x:v>Seen on day 1, absent from day-2 run, seen day 3 -&gt; DailyDiff reports new=1.</x:v>
      </x:c>
      <x:c r="F6" s="18" t="str">
        <x:v>Daily first-seen counts and novelty reports can contain false positives.</x:v>
      </x:c>
      <x:c r="G6" s="18" t="str">
        <x:v>ADVERSARIAL case false_new_after_gap.</x:v>
      </x:c>
      <x:c r="H6" s="18" t="n">
        <x:v>2</x:v>
      </x:c>
    </x:row>
    <x:row r="7">
      <x:c r="A7" s="18" t="str">
        <x:v>F006</x:v>
      </x:c>
      <x:c r="B7" s="18" t="str">
        <x:v>AX05</x:v>
      </x:c>
      <x:c r="C7" s="18" t="str">
        <x:v>high</x:v>
      </x:c>
      <x:c r="D7" s="18" t="str">
        <x:v>Reopened entity can be misclassified as new after an unobserved day</x:v>
      </x:c>
      <x:c r="E7" s="18" t="str">
        <x:v>Explicitly closed day 1, no observation day 2, seen active day 3 -&gt; new=1, reopened=0.</x:v>
      </x:c>
      <x:c r="F7" s="18" t="str">
        <x:v>Lifecycle history becomes semantically wrong.</x:v>
      </x:c>
      <x:c r="G7" s="18" t="str">
        <x:v>ADVERSARIAL case reopen_after_gap.</x:v>
      </x:c>
      <x:c r="H7" s="18" t="n">
        <x:v>3</x:v>
      </x:c>
    </x:row>
    <x:row r="8">
      <x:c r="A8" s="18" t="str">
        <x:v>F007</x:v>
      </x:c>
      <x:c r="B8" s="18" t="str">
        <x:v>AX13</x:v>
      </x:c>
      <x:c r="C8" s="18" t="str">
        <x:v>high</x:v>
      </x:c>
      <x:c r="D8" s="18" t="str">
        <x:v>Repeated finalization causes ledger/run-file divergence</x:v>
      </x:c>
      <x:c r="E8" s="18" t="str">
        <x:v>First finish stores complete/first in ledger; second finish changes RUNS/r1.json to failed/second while append-only ledger remains complete/first.</x:v>
      </x:c>
      <x:c r="F8" s="18" t="str">
        <x:v>Two canonical-looking representations of the same run disagree.</x:v>
      </x:c>
      <x:c r="G8" s="18" t="str">
        <x:v>ADVERSARIAL case double_finalize.</x:v>
      </x:c>
      <x:c r="H8" s="18" t="n">
        <x:v>6</x:v>
      </x:c>
    </x:row>
    <x:row r="9">
      <x:c r="A9" s="18" t="str">
        <x:v>F008</x:v>
      </x:c>
      <x:c r="B9" s="18" t="str">
        <x:v>AX13</x:v>
      </x:c>
      <x:c r="C9" s="18" t="str">
        <x:v>medium</x:v>
      </x:c>
      <x:c r="D9" s="18" t="str">
        <x:v>Rejected second active run leaves orphan run file</x:v>
      </x:c>
      <x:c r="E9" s="18" t="str">
        <x:v>start_daily_run writes RUNS/r2.json before checking RUN_STATE active run; command fails but r2.json remains.</x:v>
      </x:c>
      <x:c r="F9" s="18" t="str">
        <x:v>Interrupted/rejected operations leave misleading artifacts.</x:v>
      </x:c>
      <x:c r="G9" s="18" t="str">
        <x:v>ADVERSARIAL case second_active_orphan.</x:v>
      </x:c>
      <x:c r="H9" s="18" t="n">
        <x:v>999</x:v>
      </x:c>
    </x:row>
    <x:row r="10">
      <x:c r="A10" s="18" t="str">
        <x:v>F009</x:v>
      </x:c>
      <x:c r="B10" s="18" t="str">
        <x:v>AX14</x:v>
      </x:c>
      <x:c r="C10" s="18" t="str">
        <x:v>critical</x:v>
      </x:c>
      <x:c r="D10" s="18" t="str">
        <x:v>ProjectIndex path traversal can write outside the project root</x:v>
      </x:c>
      <x:c r="E10" s="18" t="str">
        <x:v>Setting artifacts.handoff to ../outside.json causes checkpoint_project to overwrite the external file.</x:v>
      </x:c>
      <x:c r="F10" s="18" t="str">
        <x:v>Untrusted project metadata can overwrite arbitrary writable files outside the project.</x:v>
      </x:c>
      <x:c r="G10" s="18" t="str">
        <x:v>ADVERSARIAL case path_traversal.</x:v>
      </x:c>
      <x:c r="H10" s="18" t="n">
        <x:v>1</x:v>
      </x:c>
    </x:row>
    <x:row r="11">
      <x:c r="A11" s="18" t="str">
        <x:v>F010</x:v>
      </x:c>
      <x:c r="B11" s="18" t="str">
        <x:v>AX03</x:v>
      </x:c>
      <x:c r="C11" s="18" t="str">
        <x:v>high</x:v>
      </x:c>
      <x:c r="D11" s="18" t="str">
        <x:v>Project validator does not enforce task schema/enums</x:v>
      </x:c>
      <x:c r="E11" s="18" t="str">
        <x:v>Task with status=banana passes validate_project.</x:v>
      </x:c>
      <x:c r="F11" s="18" t="str">
        <x:v>Malformed runtime artifacts can be accepted as valid.</x:v>
      </x:c>
      <x:c r="G11" s="18" t="str">
        <x:v>ADVERSARIAL case invalid_enum.</x:v>
      </x:c>
      <x:c r="H11" s="18" t="n">
        <x:v>8</x:v>
      </x:c>
    </x:row>
    <x:row r="12">
      <x:c r="A12" s="18" t="str">
        <x:v>F011</x:v>
      </x:c>
      <x:c r="B12" s="18" t="str">
        <x:v>AX20</x:v>
      </x:c>
      <x:c r="C12" s="18" t="str">
        <x:v>high</x:v>
      </x:c>
      <x:c r="D12" s="18" t="str">
        <x:v>Manifest-listed missing files do not fail project validation</x:v>
      </x:c>
      <x:c r="E12" s="18" t="str">
        <x:v>After checkpoint, deleting a manifest-listed file yields PROJECT VALIDATION: OK (pointer warning only).</x:v>
      </x:c>
      <x:c r="F12" s="18" t="str">
        <x:v>Integrity checker cannot reliably detect package/project truncation.</x:v>
      </x:c>
      <x:c r="G12" s="18" t="str">
        <x:v>ADVERSARIAL case missing_manifest_file.</x:v>
      </x:c>
      <x:c r="H12" s="18" t="n">
        <x:v>11</x:v>
      </x:c>
    </x:row>
    <x:row r="13">
      <x:c r="A13" s="18" t="str">
        <x:v>F012</x:v>
      </x:c>
      <x:c r="B13" s="18" t="str">
        <x:v>AX04</x:v>
      </x:c>
      <x:c r="C13" s="18" t="str">
        <x:v>medium</x:v>
      </x:c>
      <x:c r="D13" s="18" t="str">
        <x:v>Default observation idempotency can collapse distinct source provenance</x:v>
      </x:c>
      <x:c r="E13" s="18" t="str">
        <x:v>Same entity/payload/class/state from source s1 then s2 in one run stores only s1 and treats s2 as replay.</x:v>
      </x:c>
      <x:c r="F13" s="18" t="str">
        <x:v>Independent corroboration/provenance can be lost unless caller supplies custom idempotency keys.</x:v>
      </x:c>
      <x:c r="G13" s="18" t="str">
        <x:v>ADVERSARIAL case provenance_collapse.</x:v>
      </x:c>
      <x:c r="H13" s="18" t="n">
        <x:v>20</x:v>
      </x:c>
    </x:row>
    <x:row r="14">
      <x:c r="A14" s="18" t="str">
        <x:v>F013</x:v>
      </x:c>
      <x:c r="B14" s="18" t="str">
        <x:v>AX18</x:v>
      </x:c>
      <x:c r="C14" s="18" t="str">
        <x:v>medium</x:v>
      </x:c>
      <x:c r="D14" s="18" t="str">
        <x:v>Explicit typo in previous-run ID is silently treated as no previous run</x:v>
      </x:c>
      <x:c r="E14" s="18" t="str">
        <x:v>build_daily_diff --previous-run-id typo exits 0 and emits previous_run_id=null.</x:v>
      </x:c>
      <x:c r="F14" s="18" t="str">
        <x:v>Operator mistakes can silently degrade comparisons instead of failing fast.</x:v>
      </x:c>
      <x:c r="G14" s="18" t="str">
        <x:v>ADVERSARIAL case invalid_previous.</x:v>
      </x:c>
      <x:c r="H14" s="18" t="n">
        <x:v>21</x:v>
      </x:c>
    </x:row>
    <x:row r="15">
      <x:c r="A15" s="18" t="str">
        <x:v>F014</x:v>
      </x:c>
      <x:c r="B15" s="18" t="str">
        <x:v>AX12</x:v>
      </x:c>
      <x:c r="C15" s="18" t="str">
        <x:v>high</x:v>
      </x:c>
      <x:c r="D15" s="18" t="str">
        <x:v>Project config exposes an override that contradicts a hard invariant</x:v>
      </x:c>
      <x:c r="E15" s="18" t="str">
        <x:v>PROJECT_CONFIG_TEMPLATE contains monitoring.not_seen_is_closed; setting true passes validator even though SYSTEM_SPEC declares not-seen != closed hard invariant. Runtime ignores the override.</x:v>
      </x:c>
      <x:c r="F15" s="18" t="str">
        <x:v>Configuration appears mutable but is semantically dead/contradictory.</x:v>
      </x:c>
      <x:c r="G15" s="18" t="str">
        <x:v>ADVERSARIAL case config_conflict.</x:v>
      </x:c>
      <x:c r="H15" s="18" t="n">
        <x:v>13</x:v>
      </x:c>
    </x:row>
    <x:row r="16">
      <x:c r="A16" s="18" t="str">
        <x:v>F015</x:v>
      </x:c>
      <x:c r="B16" s="18" t="str">
        <x:v>AX02</x:v>
      </x:c>
      <x:c r="C16" s="18" t="str">
        <x:v>high</x:v>
      </x:c>
      <x:c r="D16" s="18" t="str">
        <x:v>Task acceptance tests are not enforced before done state</x:v>
      </x:c>
      <x:c r="E16" s="18" t="str">
        <x:v>A task manifest can be marked done with nonexistent outputs/unsatisfied acceptance_tests and validate_project still passes.</x:v>
      </x:c>
      <x:c r="F16" s="18" t="str">
        <x:v>Atomic task lifecycle contract is advisory rather than enforceable.</x:v>
      </x:c>
      <x:c r="G16" s="18" t="str">
        <x:v>Create done task with missing output; run validate_project.</x:v>
      </x:c>
      <x:c r="H16" s="18" t="n">
        <x:v>9</x:v>
      </x:c>
    </x:row>
    <x:row r="17">
      <x:c r="A17" s="18" t="str">
        <x:v>F016</x:v>
      </x:c>
      <x:c r="B17" s="18" t="str">
        <x:v>AX06</x:v>
      </x:c>
      <x:c r="C17" s="18" t="str">
        <x:v>high</x:v>
      </x:c>
      <x:c r="D17" s="18" t="str">
        <x:v>Not-comparable runs still emit field-change events</x:v>
      </x:c>
      <x:c r="E17" s="18" t="str">
        <x:v>Method-version mismatch yields comparison_status=not_comparable but build_daily_diff still writes field_changed event.</x:v>
      </x:c>
      <x:c r="F17" s="18" t="str">
        <x:v>Downstream automation can react to changes that the system itself declared non-comparable.</x:v>
      </x:c>
      <x:c r="G17" s="18" t="str">
        <x:v>Method v1 vs v2 with payload change; inspect CHANGE_EVENTS.jsonl.</x:v>
      </x:c>
      <x:c r="H17" s="18" t="n">
        <x:v>5</x:v>
      </x:c>
    </x:row>
    <x:row r="18">
      <x:c r="A18" s="18" t="str">
        <x:v>F017</x:v>
      </x:c>
      <x:c r="B18" s="18" t="str">
        <x:v>AX06</x:v>
      </x:c>
      <x:c r="C18" s="18" t="str">
        <x:v>medium</x:v>
      </x:c>
      <x:c r="D18" s="18" t="str">
        <x:v>Promised method_changed/scope_changed/status_changed events are not implemented</x:v>
      </x:c>
      <x:c r="E18" s="18" t="str">
        <x:v>SYSTEM_DEFAULTS and temporal method list these event types; build_daily_diff emits only first_seen, field_changed, confirmed_closed, reopened, not_seen_in_run, seen_again.</x:v>
      </x:c>
      <x:c r="F18" s="18" t="str">
        <x:v>Audit trail does not represent method/scope drift explicitly as promised.</x:v>
      </x:c>
      <x:c r="G18" s="18" t="str">
        <x:v>Static review build_daily_diff.py vs METHOD/18 and SYSTEM_DEFAULTS.</x:v>
      </x:c>
      <x:c r="H18" s="18" t="n">
        <x:v>999</x:v>
      </x:c>
    </x:row>
    <x:row r="19">
      <x:c r="A19" s="18" t="str">
        <x:v>F018</x:v>
      </x:c>
      <x:c r="B19" s="18" t="str">
        <x:v>AX06</x:v>
      </x:c>
      <x:c r="C19" s="18" t="str">
        <x:v>high</x:v>
      </x:c>
      <x:c r="D19" s="18" t="str">
        <x:v>Supported Daily Run CLI cannot record source routes</x:v>
      </x:c>
      <x:c r="E19" s="18" t="str">
        <x:v>start_daily_run.py hardcodes source_route_ids=[] and exposes no --source-route option.</x:v>
      </x:c>
      <x:c r="F19" s="18" t="str">
        <x:v>A required comparability dimension cannot be captured through the supported tool path.</x:v>
      </x:c>
      <x:c r="G19" s="18" t="str">
        <x:v>Inspect start_daily_run.py CLI/record.</x:v>
      </x:c>
      <x:c r="H19" s="18" t="n">
        <x:v>18</x:v>
      </x:c>
    </x:row>
    <x:row r="20">
      <x:c r="A20" s="18" t="str">
        <x:v>F019</x:v>
      </x:c>
      <x:c r="B20" s="18" t="str">
        <x:v>AX03</x:v>
      </x:c>
      <x:c r="C20" s="18" t="str">
        <x:v>high</x:v>
      </x:c>
      <x:c r="D20" s="18" t="str">
        <x:v>Schema system uses two incompatible dialects without a unified validator</x:v>
      </x:c>
      <x:c r="E20" s="18" t="str">
        <x:v>23 *_SCHEMA.json files: 9 real JSON Schema, 14 custom descriptors; validate_project does not validate either dialect.</x:v>
      </x:c>
      <x:c r="F20" s="18" t="str">
        <x:v>Schema files can describe constraints that runtime never enforces.</x:v>
      </x:c>
      <x:c r="G20" s="18" t="str">
        <x:v>Schema inventory + invalid-enum adversarial case.</x:v>
      </x:c>
      <x:c r="H20" s="18" t="n">
        <x:v>19</x:v>
      </x:c>
    </x:row>
    <x:row r="21">
      <x:c r="A21" s="18" t="str">
        <x:v>F020</x:v>
      </x:c>
      <x:c r="B21" s="18" t="str">
        <x:v>AX15</x:v>
      </x:c>
      <x:c r="C21" s="18" t="str">
        <x:v>high</x:v>
      </x:c>
      <x:c r="D21" s="18" t="str">
        <x:v>Migration contract is documented but no migration implementation/support matrix exists</x:v>
      </x:c>
      <x:c r="E21" s="18" t="str">
        <x:v>METHOD/16 requires schema migrations; system ships no migration tool or old/new version fixtures.</x:v>
      </x:c>
      <x:c r="F21" s="18" t="str">
        <x:v>Older projects may be silently incompatible or require manual interpretation.</x:v>
      </x:c>
      <x:c r="G21" s="18" t="str">
        <x:v>Inspect TOOLS/MIGRATIONS and tests for migration cases.</x:v>
      </x:c>
      <x:c r="H21" s="18" t="n">
        <x:v>14</x:v>
      </x:c>
    </x:row>
    <x:row r="22">
      <x:c r="A22" s="18" t="str">
        <x:v>F021</x:v>
      </x:c>
      <x:c r="B22" s="18" t="str">
        <x:v>AX13</x:v>
      </x:c>
      <x:c r="C22" s="18" t="str">
        <x:v>high</x:v>
      </x:c>
      <x:c r="D22" s="18" t="str">
        <x:v>Multi-file state updates are not transactional and there is no locking</x:v>
      </x:c>
      <x:c r="E22" s="18" t="str">
        <x:v>checkpoint/start/record tools write multiple files directly; no temp+rename transaction or project lock/lease is used.</x:v>
      </x:c>
      <x:c r="F22" s="18" t="str">
        <x:v>Crash or concurrent agents can leave partially updated state or duplicate ledger rows.</x:v>
      </x:c>
      <x:c r="G22" s="18" t="str">
        <x:v>Static write-path review; second-active-run artifact demonstrates partial-write behavior.</x:v>
      </x:c>
      <x:c r="H22" s="18" t="n">
        <x:v>15</x:v>
      </x:c>
    </x:row>
    <x:row r="23">
      <x:c r="A23" s="18" t="str">
        <x:v>F022</x:v>
      </x:c>
      <x:c r="B23" s="18" t="str">
        <x:v>AX17</x:v>
      </x:c>
      <x:c r="C23" s="18" t="str">
        <x:v>medium</x:v>
      </x:c>
      <x:c r="D23" s="18" t="str">
        <x:v>Ledger algorithms have unbounded linear/quadratic behavior with no scale target</x:v>
      </x:c>
      <x:c r="E23" s="18" t="str">
        <x:v>append_jsonl_unique rereads full JSONL on every append; validate_temporal duplicate detection uses vals.count inside a set comprehension (quadratic); checkpoint rehashes every project file.</x:v>
      </x:c>
      <x:c r="F23" s="18" t="str">
        <x:v>Long-lived daily monitoring may slow sharply as history grows.</x:v>
      </x:c>
      <x:c r="G23" s="18" t="str">
        <x:v>Static complexity review; no benchmark/scale contract present.</x:v>
      </x:c>
      <x:c r="H23" s="18" t="n">
        <x:v>25</x:v>
      </x:c>
    </x:row>
    <x:row r="24">
      <x:c r="A24" s="18" t="str">
        <x:v>F023</x:v>
      </x:c>
      <x:c r="B24" s="18" t="str">
        <x:v>AX19</x:v>
      </x:c>
      <x:c r="C24" s="18" t="str">
        <x:v>high</x:v>
      </x:c>
      <x:c r="D24" s="18" t="str">
        <x:v>Release validator does not run contract tests or smoke tests</x:v>
      </x:c>
      <x:c r="E24" s="18" t="str">
        <x:v>validate_system.py compiles scripts/checks files/sheets but never executes TOOLS/run_tests.py or smoke_test.py.</x:v>
      </x:c>
      <x:c r="F24" s="18" t="str">
        <x:v>Release validation can be green despite behavioral regressions.</x:v>
      </x:c>
      <x:c r="G24" s="18" t="str">
        <x:v>Inspect validate_system.py; stale manifest already demonstrates green validator with packaging fault.</x:v>
      </x:c>
      <x:c r="H24" s="18" t="n">
        <x:v>12</x:v>
      </x:c>
    </x:row>
    <x:row r="25">
      <x:c r="A25" s="18" t="str">
        <x:v>F024</x:v>
      </x:c>
      <x:c r="B25" s="18" t="str">
        <x:v>AX19</x:v>
      </x:c>
      <x:c r="C25" s="18" t="str">
        <x:v>medium</x:v>
      </x:c>
      <x:c r="D25" s="18" t="str">
        <x:v>Smoke test does not exercise DailyDiff despite testing contract saying it should</x:v>
      </x:c>
      <x:c r="E25" s="18" t="str">
        <x:v>METHOD/19 describes integration smoke including build a diff; smoke_test.py finishes one run and checkpoints without build_daily_diff.</x:v>
      </x:c>
      <x:c r="F25" s="18" t="str">
        <x:v>Central temporal comparison path is omitted from integration smoke coverage.</x:v>
      </x:c>
      <x:c r="G25" s="18" t="str">
        <x:v>Inspect METHOD/19 vs smoke_test.py.</x:v>
      </x:c>
      <x:c r="H25" s="18" t="n">
        <x:v>22</x:v>
      </x:c>
    </x:row>
    <x:row r="26">
      <x:c r="A26" s="18" t="str">
        <x:v>F025</x:v>
      </x:c>
      <x:c r="B26" s="18" t="str">
        <x:v>AX07</x:v>
      </x:c>
      <x:c r="C26" s="18" t="str">
        <x:v>high</x:v>
      </x:c>
      <x:c r="D26" s="18" t="str">
        <x:v>Claim/evidence/source traceability is not machine-validated</x:v>
      </x:c>
      <x:c r="E26" s="18" t="str">
        <x:v>Evidence/claim/source structures exist, but validate_project has no checks that claim evidence IDs exist, source IDs resolve, or dependency groups are coherent.</x:v>
      </x:c>
      <x:c r="F26" s="18" t="str">
        <x:v>Decision-relevant claims can become orphaned from evidence without validation failure.</x:v>
      </x:c>
      <x:c r="G26" s="18" t="str">
        <x:v>Static validator coverage review.</x:v>
      </x:c>
      <x:c r="H26" s="18" t="n">
        <x:v>16</x:v>
      </x:c>
    </x:row>
    <x:row r="27">
      <x:c r="A27" s="18" t="str">
        <x:v>F026</x:v>
      </x:c>
      <x:c r="B27" s="18" t="str">
        <x:v>AX08</x:v>
      </x:c>
      <x:c r="C27" s="18" t="str">
        <x:v>medium</x:v>
      </x:c>
      <x:c r="D27" s="18" t="str">
        <x:v>Sampling/measurement contract is documented but not executable</x:v>
      </x:c>
      <x:c r="E27" s="18" t="str">
        <x:v>No validator enforces measurement window/query/dedup/eligibility prerequisites or prevents discovery sample from being used for frequency.</x:v>
      </x:c>
      <x:c r="F27" s="18" t="str">
        <x:v>An agent can create quantitatively invalid measurements while project validation remains green.</x:v>
      </x:c>
      <x:c r="G27" s="18" t="str">
        <x:v>Static review of validate_project vs METHOD/07.</x:v>
      </x:c>
      <x:c r="H27" s="18" t="n">
        <x:v>999</x:v>
      </x:c>
    </x:row>
    <x:row r="28">
      <x:c r="A28" s="18" t="str">
        <x:v>F027</x:v>
      </x:c>
      <x:c r="B28" s="18" t="str">
        <x:v>AX10</x:v>
      </x:c>
      <x:c r="C28" s="18" t="str">
        <x:v>medium</x:v>
      </x:c>
      <x:c r="D28" s="18" t="str">
        <x:v>Dependency propagation is not validated or integrated with change events</x:v>
      </x:c>
      <x:c r="E28" s="18" t="str">
        <x:v>propagate_changes.py blindly traverses from-&gt;to for allowed relationship labels; no node-reference validation, fixture tests, or automatic change-event integration.</x:v>
      </x:c>
      <x:c r="F28" s="18" t="str">
        <x:v>Refresh scope can be incomplete or excessive depending on graph authoring.</x:v>
      </x:c>
      <x:c r="G28" s="18" t="str">
        <x:v>Static review propagate_changes.py/tests.</x:v>
      </x:c>
      <x:c r="H28" s="18" t="n">
        <x:v>23</x:v>
      </x:c>
    </x:row>
    <x:row r="29">
      <x:c r="A29" s="18" t="str">
        <x:v>F028</x:v>
      </x:c>
      <x:c r="B29" s="18" t="str">
        <x:v>AX11</x:v>
      </x:c>
      <x:c r="C29" s="18" t="str">
        <x:v>medium</x:v>
      </x:c>
      <x:c r="D29" s="18" t="str">
        <x:v>Bootstrap baseline pointers are absolute and cycle is not fully self-contained</x:v>
      </x:c>
      <x:c r="E29" s="18" t="str">
        <x:v>BASELINE_POINTER/BASELINE_INVENTORY record resolved absolute artifact roots; prior artifacts are inventoried but not materialized into cycle.</x:v>
      </x:c>
      <x:c r="F29" s="18" t="str">
        <x:v>Moving a cycle between machines/chats can break access unless original baseline is supplied again.</x:v>
      </x:c>
      <x:c r="G29" s="18" t="str">
        <x:v>Inspect bootstrap_inventory.py/bootstrap_cycle.py output model.</x:v>
      </x:c>
      <x:c r="H29" s="18" t="n">
        <x:v>24</x:v>
      </x:c>
    </x:row>
    <x:row r="30">
      <x:c r="A30" s="18" t="str">
        <x:v>F029</x:v>
      </x:c>
      <x:c r="B30" s="18" t="str">
        <x:v>AX16</x:v>
      </x:c>
      <x:c r="C30" s="18" t="str">
        <x:v>low</x:v>
      </x:c>
      <x:c r="D30" s="18" t="str">
        <x:v>Runtime environment requirements are implicit</x:v>
      </x:c>
      <x:c r="E30" s="18" t="str">
        <x:v>Tools use Python features such as PEP 604 unions/zoneinfo, but no explicit minimum Python version/environment contract is shipped. Several scripts contain a leading backslash line and are invoked only via python, not as executable CLI.</x:v>
      </x:c>
      <x:c r="F30" s="18" t="str">
        <x:v>Clean-environment portability depends on implicit assumptions.</x:v>
      </x:c>
      <x:c r="G30" s="18" t="str">
        <x:v>Inspect runtime_lib.py first bytes and docs for Python version.</x:v>
      </x:c>
      <x:c r="H30" s="18" t="n">
        <x:v>29</x:v>
      </x:c>
    </x:row>
    <x:row r="31">
      <x:c r="A31" s="18" t="str">
        <x:v>F030</x:v>
      </x:c>
      <x:c r="B31" s="18" t="str">
        <x:v>AX09</x:v>
      </x:c>
      <x:c r="C31" s="18" t="str">
        <x:v>medium</x:v>
      </x:c>
      <x:c r="D31" s="18" t="str">
        <x:v>Economics validity has strong prose rules but no executable prerequisite validation</x:v>
      </x:c>
      <x:c r="E31" s="18" t="str">
        <x:v>OpportunityEconomics captures raw fields, but no validator checks that derived effective-rate claims have observed time basis/cost fields or that currency normalization provenance exists.</x:v>
      </x:c>
      <x:c r="F31" s="18" t="str">
        <x:v>Derived economics can be created inconsistently by an agent/tool without system-level rejection.</x:v>
      </x:c>
      <x:c r="G31" s="18" t="str">
        <x:v>Static review METHOD/17, schema and validate_project.</x:v>
      </x:c>
      <x:c r="H31" s="18" t="n">
        <x:v>26</x:v>
      </x:c>
    </x:row>
    <x:row r="32">
      <x:c r="A32" s="18" t="str">
        <x:v>F031</x:v>
      </x:c>
      <x:c r="B32" s="18" t="str">
        <x:v>AX12</x:v>
      </x:c>
      <x:c r="C32" s="18" t="str">
        <x:v>medium</x:v>
      </x:c>
      <x:c r="D32" s="18" t="str">
        <x:v>Several documented configurable policies are not consumed by runtime tools</x:v>
      </x:c>
      <x:c r="E32" s="18" t="str">
        <x:v>source_overrides/method_overrides/default_refresh cadence/auto interesting rules exist in config templates, but core temporal tools do not apply them automatically.</x:v>
      </x:c>
      <x:c r="F32" s="18" t="str">
        <x:v>Users can change config believing behavior will change when it may not.</x:v>
      </x:c>
      <x:c r="G32" s="18" t="str">
        <x:v>Config-key usage search across TOOLS.</x:v>
      </x:c>
      <x:c r="H32" s="18" t="n">
        <x:v>27</x:v>
      </x:c>
    </x:row>
    <x:row r="33">
      <x:c r="A33" s="18" t="str">
        <x:v>F032</x:v>
      </x:c>
      <x:c r="B33" s="18" t="str">
        <x:v>AX18</x:v>
      </x:c>
      <x:c r="C33" s="18" t="str">
        <x:v>medium</x:v>
      </x:c>
      <x:c r="D33" s="18" t="str">
        <x:v>No repair/reconciliation command for divergent/orphan runtime artifacts</x:v>
      </x:c>
      <x:c r="E33" s="18" t="str">
        <x:v>Validators can report some errors, but system has no tool to reconcile RUNS vs ledger, remove/quarantine orphan runs, or rebuild state from ledger.</x:v>
      </x:c>
      <x:c r="F33" s="18" t="str">
        <x:v>Detected runtime corruption requires manual surgery.</x:v>
      </x:c>
      <x:c r="G33" s="18" t="str">
        <x:v>Tool inventory review.</x:v>
      </x:c>
      <x:c r="H33" s="18" t="n">
        <x:v>28</x:v>
      </x:c>
    </x:row>
  </x:sheetData>
  <x:conditionalFormatting sqref="C2:C33">
    <x:cfRule type="expression" dxfId="3" priority="1">
      <x:formula>C2="critical"</x:formula>
    </x:cfRule>
    <x:cfRule type="expression" dxfId="4" priority="2">
      <x:formula>C2="high"</x:formula>
    </x:cfRule>
    <x:cfRule type="expression" dxfId="5" priority="3">
      <x:formula>C2="medium"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4" hidden="0" customWidth="1"/>
    <x:col min="4" max="4" width="34" hidden="0" customWidth="1"/>
    <x:col min="5" max="5" width="78" hidden="0" customWidth="1"/>
    <x:col min="6" max="6" width="18" hidden="0" customWidth="1"/>
  </x:cols>
  <x:sheetData>
    <x:row r="1">
      <x:c r="A1" s="39" t="str">
        <x:v>System Audit — v1.6.0 — 2026-09-30</x:v>
      </x:c>
      <x:c r="B1" s="39"/>
      <x:c r="C1" s="39"/>
      <x:c r="D1" s="39"/>
      <x:c r="E1" s="39"/>
      <x:c r="F1" s="39"/>
    </x:row>
    <x:row r="2">
      <x:c r="A2" s="18"/>
      <x:c r="B2" s="18"/>
      <x:c r="C2" s="18"/>
      <x:c r="D2" s="18"/>
      <x:c r="E2" s="18"/>
      <x:c r="F2" s="18"/>
    </x:row>
    <x:row r="3">
      <x:c r="A3" s="42" t="str">
        <x:v>Field</x:v>
      </x:c>
      <x:c r="B3" s="42" t="str">
        <x:v>Value</x:v>
      </x:c>
      <x:c r="C3" s="18"/>
      <x:c r="D3" s="18"/>
      <x:c r="E3" s="18"/>
      <x:c r="F3" s="18"/>
    </x:row>
    <x:row r="4">
      <x:c r="A4" s="18" t="str">
        <x:v>Audit framework</x:v>
      </x:c>
      <x:c r="B4" s="18" t="str">
        <x:v>AX01–AX20 / 1.0</x:v>
      </x:c>
      <x:c r="C4" s="18"/>
      <x:c r="D4" s="18"/>
      <x:c r="E4" s="18"/>
      <x:c r="F4" s="18"/>
    </x:row>
    <x:row r="5">
      <x:c r="A5" s="18" t="str">
        <x:v>Target system</x:v>
      </x:c>
      <x:c r="B5" s="18" t="str">
        <x:v>1.6.0</x:v>
      </x:c>
      <x:c r="C5" s="18"/>
      <x:c r="D5" s="18"/>
      <x:c r="E5" s="18"/>
      <x:c r="F5" s="18"/>
    </x:row>
    <x:row r="6">
      <x:c r="A6" s="18" t="str">
        <x:v>Audit clear</x:v>
      </x:c>
      <x:c r="B6" s="18" t="str">
        <x:v>YES</x:v>
      </x:c>
      <x:c r="C6" s="18"/>
      <x:c r="D6" s="18"/>
      <x:c r="E6" s="18"/>
      <x:c r="F6" s="18"/>
    </x:row>
    <x:row r="7">
      <x:c r="A7" s="18" t="str">
        <x:v>Release gate</x:v>
      </x:c>
      <x:c r="B7" s="18" t="str">
        <x:v>PASS</x:v>
      </x:c>
      <x:c r="C7" s="18"/>
      <x:c r="D7" s="18"/>
      <x:c r="E7" s="18"/>
      <x:c r="F7" s="18"/>
    </x:row>
    <x:row r="8">
      <x:c r="A8" s="18" t="str">
        <x:v>Evidence</x:v>
      </x:c>
      <x:c r="B8" s="18" t="str">
        <x:v>42/42 regressions; 6/6 release contracts; smoke OK; 100k benchmark pass; manifest clean</x:v>
      </x:c>
      <x:c r="C8" s="18"/>
      <x:c r="D8" s="18"/>
      <x:c r="E8" s="18"/>
      <x:c r="F8" s="18"/>
    </x:row>
    <x:row r="9">
      <x:c r="A9" s="18"/>
      <x:c r="B9" s="18"/>
      <x:c r="C9" s="18"/>
      <x:c r="D9" s="18"/>
      <x:c r="E9" s="18"/>
      <x:c r="F9" s="18"/>
    </x:row>
    <x:row r="10">
      <x:c r="A10" s="42" t="str">
        <x:v>Axis</x:v>
      </x:c>
      <x:c r="B10" s="42" t="str">
        <x:v>Name</x:v>
      </x:c>
      <x:c r="C10" s="42" t="str">
        <x:v>Status</x:v>
      </x:c>
      <x:c r="D10" s="42" t="str">
        <x:v>Prior findings resolved</x:v>
      </x:c>
      <x:c r="E10" s="42" t="str">
        <x:v>Summary</x:v>
      </x:c>
      <x:c r="F10" s="18"/>
    </x:row>
    <x:row r="11">
      <x:c r="A11" s="18" t="str">
        <x:v>AX01</x:v>
      </x:c>
      <x:c r="B11" s="18" t="str">
        <x:v>Purpose &amp; decision fitness</x:v>
      </x:c>
      <x:c r="C11" s="18" t="str">
        <x:v>pass</x:v>
      </x:c>
      <x:c r="D11" s="18" t="str">
        <x:v>—</x:v>
      </x:c>
      <x:c r="E11" s="18" t="str">
        <x:v>Pass in v1.6 remediation audit; prior v1.5 findings on this axis are resolved or no finding existed.</x:v>
      </x:c>
      <x:c r="F11" s="18"/>
    </x:row>
    <x:row r="12">
      <x:c r="A12" s="18" t="str">
        <x:v>AX02</x:v>
      </x:c>
      <x:c r="B12" s="18" t="str">
        <x:v>Authority, pointers &amp; state consistency</x:v>
      </x:c>
      <x:c r="C12" s="18" t="str">
        <x:v>pass</x:v>
      </x:c>
      <x:c r="D12" s="18" t="str">
        <x:v>F002, F015</x:v>
      </x:c>
      <x:c r="E12" s="18" t="str">
        <x:v>Pass in v1.6 remediation audit; prior v1.5 findings on this axis are resolved or no finding existed.</x:v>
      </x:c>
      <x:c r="F12" s="18"/>
    </x:row>
    <x:row r="13">
      <x:c r="A13" s="18" t="str">
        <x:v>AX03</x:v>
      </x:c>
      <x:c r="B13" s="18" t="str">
        <x:v>Schema, enums &amp; version integrity</x:v>
      </x:c>
      <x:c r="C13" s="18" t="str">
        <x:v>pass</x:v>
      </x:c>
      <x:c r="D13" s="18" t="str">
        <x:v>F010, F019</x:v>
      </x:c>
      <x:c r="E13" s="18" t="str">
        <x:v>Pass in v1.6 remediation audit; prior v1.5 findings on this axis are resolved or no finding existed.</x:v>
      </x:c>
      <x:c r="F13" s="18"/>
    </x:row>
    <x:row r="14">
      <x:c r="A14" s="18" t="str">
        <x:v>AX04</x:v>
      </x:c>
      <x:c r="B14" s="18" t="str">
        <x:v>Identity, deduplication &amp; idempotency</x:v>
      </x:c>
      <x:c r="C14" s="18" t="str">
        <x:v>pass</x:v>
      </x:c>
      <x:c r="D14" s="18" t="str">
        <x:v>F012</x:v>
      </x:c>
      <x:c r="E14" s="18" t="str">
        <x:v>Pass in v1.6 remediation audit; prior v1.5 findings on this axis are resolved or no finding existed.</x:v>
      </x:c>
      <x:c r="F14" s="18"/>
    </x:row>
    <x:row r="15">
      <x:c r="A15" s="18" t="str">
        <x:v>AX05</x:v>
      </x:c>
      <x:c r="B15" s="18" t="str">
        <x:v>Temporal correctness &amp; daily history</x:v>
      </x:c>
      <x:c r="C15" s="18" t="str">
        <x:v>pass</x:v>
      </x:c>
      <x:c r="D15" s="18" t="str">
        <x:v>F005, F006</x:v>
      </x:c>
      <x:c r="E15" s="18" t="str">
        <x:v>Pass in v1.6 remediation audit; prior v1.5 findings on this axis are resolved or no finding existed.</x:v>
      </x:c>
      <x:c r="F15" s="18"/>
    </x:row>
    <x:row r="16">
      <x:c r="A16" s="18" t="str">
        <x:v>AX06</x:v>
      </x:c>
      <x:c r="B16" s="18" t="str">
        <x:v>Method/scope/source-route comparability</x:v>
      </x:c>
      <x:c r="C16" s="18" t="str">
        <x:v>pass</x:v>
      </x:c>
      <x:c r="D16" s="18" t="str">
        <x:v>F004, F016, F017, F018</x:v>
      </x:c>
      <x:c r="E16" s="18" t="str">
        <x:v>Pass in v1.6 remediation audit; prior v1.5 findings on this axis are resolved or no finding existed.</x:v>
      </x:c>
      <x:c r="F16" s="18"/>
    </x:row>
    <x:row r="17">
      <x:c r="A17" s="18" t="str">
        <x:v>AX07</x:v>
      </x:c>
      <x:c r="B17" s="18" t="str">
        <x:v>Source, provenance &amp; evidence traceability</x:v>
      </x:c>
      <x:c r="C17" s="18" t="str">
        <x:v>pass</x:v>
      </x:c>
      <x:c r="D17" s="18" t="str">
        <x:v>F025</x:v>
      </x:c>
      <x:c r="E17" s="18" t="str">
        <x:v>Pass in v1.6 remediation audit; prior v1.5 findings on this axis are resolved or no finding existed.</x:v>
      </x:c>
      <x:c r="F17" s="18"/>
    </x:row>
    <x:row r="18">
      <x:c r="A18" s="18" t="str">
        <x:v>AX08</x:v>
      </x:c>
      <x:c r="B18" s="18" t="str">
        <x:v>Sampling &amp; measurement validity</x:v>
      </x:c>
      <x:c r="C18" s="18" t="str">
        <x:v>pass</x:v>
      </x:c>
      <x:c r="D18" s="18" t="str">
        <x:v>F026</x:v>
      </x:c>
      <x:c r="E18" s="18" t="str">
        <x:v>Pass in v1.6 remediation audit; prior v1.5 findings on this axis are resolved or no finding existed.</x:v>
      </x:c>
      <x:c r="F18" s="18"/>
    </x:row>
    <x:row r="19">
      <x:c r="A19" s="18" t="str">
        <x:v>AX09</x:v>
      </x:c>
      <x:c r="B19" s="18" t="str">
        <x:v>Economics &amp; effort validity</x:v>
      </x:c>
      <x:c r="C19" s="18" t="str">
        <x:v>pass</x:v>
      </x:c>
      <x:c r="D19" s="18" t="str">
        <x:v>F030</x:v>
      </x:c>
      <x:c r="E19" s="18" t="str">
        <x:v>Pass in v1.6 remediation audit; prior v1.5 findings on this axis are resolved or no finding existed.</x:v>
      </x:c>
      <x:c r="F19" s="18"/>
    </x:row>
    <x:row r="20">
      <x:c r="A20" s="18" t="str">
        <x:v>AX10</x:v>
      </x:c>
      <x:c r="B20" s="18" t="str">
        <x:v>Dependency graph &amp; change propagation</x:v>
      </x:c>
      <x:c r="C20" s="18" t="str">
        <x:v>pass</x:v>
      </x:c>
      <x:c r="D20" s="18" t="str">
        <x:v>F027</x:v>
      </x:c>
      <x:c r="E20" s="18" t="str">
        <x:v>Pass in v1.6 remediation audit; prior v1.5 findings on this axis are resolved or no finding existed.</x:v>
      </x:c>
      <x:c r="F20" s="18"/>
    </x:row>
    <x:row r="21">
      <x:c r="A21" s="18" t="str">
        <x:v>AX11</x:v>
      </x:c>
      <x:c r="B21" s="18" t="str">
        <x:v>Bootstrap, reuse, handoff &amp; reproducibility</x:v>
      </x:c>
      <x:c r="C21" s="18" t="str">
        <x:v>pass</x:v>
      </x:c>
      <x:c r="D21" s="18" t="str">
        <x:v>F003, F028</x:v>
      </x:c>
      <x:c r="E21" s="18" t="str">
        <x:v>Pass in v1.6 remediation audit; prior v1.5 findings on this axis are resolved or no finding existed.</x:v>
      </x:c>
      <x:c r="F21" s="18"/>
    </x:row>
    <x:row r="22">
      <x:c r="A22" s="18" t="str">
        <x:v>AX12</x:v>
      </x:c>
      <x:c r="B22" s="18" t="str">
        <x:v>Configurability &amp; extensibility</x:v>
      </x:c>
      <x:c r="C22" s="18" t="str">
        <x:v>pass</x:v>
      </x:c>
      <x:c r="D22" s="18" t="str">
        <x:v>F014, F031</x:v>
      </x:c>
      <x:c r="E22" s="18" t="str">
        <x:v>Pass in v1.6 remediation audit; prior v1.5 findings on this axis are resolved or no finding existed.</x:v>
      </x:c>
      <x:c r="F22" s="18"/>
    </x:row>
    <x:row r="23">
      <x:c r="A23" s="18" t="str">
        <x:v>AX13</x:v>
      </x:c>
      <x:c r="B23" s="18" t="str">
        <x:v>Failure, crash, concurrency &amp; recovery</x:v>
      </x:c>
      <x:c r="C23" s="18" t="str">
        <x:v>pass</x:v>
      </x:c>
      <x:c r="D23" s="18" t="str">
        <x:v>F007, F008, F021</x:v>
      </x:c>
      <x:c r="E23" s="18" t="str">
        <x:v>Pass in v1.6 remediation audit; prior v1.5 findings on this axis are resolved or no finding existed.</x:v>
      </x:c>
      <x:c r="F23" s="18"/>
    </x:row>
    <x:row r="24">
      <x:c r="A24" s="18" t="str">
        <x:v>AX14</x:v>
      </x:c>
      <x:c r="B24" s="18" t="str">
        <x:v>Security, path confinement &amp; data safety</x:v>
      </x:c>
      <x:c r="C24" s="18" t="str">
        <x:v>pass</x:v>
      </x:c>
      <x:c r="D24" s="18" t="str">
        <x:v>F009</x:v>
      </x:c>
      <x:c r="E24" s="18" t="str">
        <x:v>Pass in v1.6 remediation audit; prior v1.5 findings on this axis are resolved or no finding existed.</x:v>
      </x:c>
      <x:c r="F24" s="18"/>
    </x:row>
    <x:row r="25">
      <x:c r="A25" s="18" t="str">
        <x:v>AX15</x:v>
      </x:c>
      <x:c r="B25" s="18" t="str">
        <x:v>Schema migration &amp; backward compatibility</x:v>
      </x:c>
      <x:c r="C25" s="18" t="str">
        <x:v>pass</x:v>
      </x:c>
      <x:c r="D25" s="18" t="str">
        <x:v>F020</x:v>
      </x:c>
      <x:c r="E25" s="18" t="str">
        <x:v>Pass in v1.6 remediation audit; prior v1.5 findings on this axis are resolved or no finding existed.</x:v>
      </x:c>
      <x:c r="F25" s="18"/>
    </x:row>
    <x:row r="26">
      <x:c r="A26" s="18" t="str">
        <x:v>AX16</x:v>
      </x:c>
      <x:c r="B26" s="18" t="str">
        <x:v>Portability &amp; capability awareness</x:v>
      </x:c>
      <x:c r="C26" s="18" t="str">
        <x:v>pass</x:v>
      </x:c>
      <x:c r="D26" s="18" t="str">
        <x:v>F029</x:v>
      </x:c>
      <x:c r="E26" s="18" t="str">
        <x:v>Pass in v1.6 remediation audit; prior v1.5 findings on this axis are resolved or no finding existed.</x:v>
      </x:c>
      <x:c r="F26" s="18"/>
    </x:row>
    <x:row r="27">
      <x:c r="A27" s="18" t="str">
        <x:v>AX17</x:v>
      </x:c>
      <x:c r="B27" s="18" t="str">
        <x:v>Performance &amp; long-term scalability</x:v>
      </x:c>
      <x:c r="C27" s="18" t="str">
        <x:v>pass</x:v>
      </x:c>
      <x:c r="D27" s="18" t="str">
        <x:v>F022</x:v>
      </x:c>
      <x:c r="E27" s="18" t="str">
        <x:v>Pass in v1.6 remediation audit; prior v1.5 findings on this axis are resolved or no finding existed.</x:v>
      </x:c>
      <x:c r="F27" s="18"/>
    </x:row>
    <x:row r="28">
      <x:c r="A28" s="18" t="str">
        <x:v>AX18</x:v>
      </x:c>
      <x:c r="B28" s="18" t="str">
        <x:v>Observability, diagnostics &amp; repairability</x:v>
      </x:c>
      <x:c r="C28" s="18" t="str">
        <x:v>pass</x:v>
      </x:c>
      <x:c r="D28" s="18" t="str">
        <x:v>F013, F032</x:v>
      </x:c>
      <x:c r="E28" s="18" t="str">
        <x:v>Pass in v1.6 remediation audit; prior v1.5 findings on this axis are resolved or no finding existed.</x:v>
      </x:c>
      <x:c r="F28" s="18"/>
    </x:row>
    <x:row r="29">
      <x:c r="A29" s="18" t="str">
        <x:v>AX19</x:v>
      </x:c>
      <x:c r="B29" s="18" t="str">
        <x:v>Test-suite quality &amp; refactor resilience</x:v>
      </x:c>
      <x:c r="C29" s="18" t="str">
        <x:v>pass</x:v>
      </x:c>
      <x:c r="D29" s="18" t="str">
        <x:v>F023, F024</x:v>
      </x:c>
      <x:c r="E29" s="18" t="str">
        <x:v>Pass in v1.6 remediation audit; prior v1.5 findings on this axis are resolved or no finding existed.</x:v>
      </x:c>
      <x:c r="F29" s="18"/>
    </x:row>
    <x:row r="30">
      <x:c r="A30" s="18" t="str">
        <x:v>AX20</x:v>
      </x:c>
      <x:c r="B30" s="18" t="str">
        <x:v>Release, artifact &amp; documentation integrity</x:v>
      </x:c>
      <x:c r="C30" s="18" t="str">
        <x:v>pass</x:v>
      </x:c>
      <x:c r="D30" s="18" t="str">
        <x:v>F001, F011</x:v>
      </x:c>
      <x:c r="E30" s="18" t="str">
        <x:v>Pass in v1.6 remediation audit; prior v1.5 findings on this axis are resolved or no finding existed.</x:v>
      </x:c>
      <x:c r="F30" s="18"/>
    </x:row>
  </x:sheetData>
  <x:mergeCells>
    <x:mergeCell ref="A1:F1"/>
  </x:mergeCells>
  <x:conditionalFormatting sqref="C11:C30">
    <x:cfRule type="expression" dxfId="6" priority="1">
      <x:formula>C11="pass"</x:formula>
    </x:cfRule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48" hidden="0" customWidth="1"/>
    <x:col min="5" max="5" width="16" hidden="0" customWidth="1"/>
    <x:col min="6" max="6" width="14" hidden="0" customWidth="1"/>
    <x:col min="7" max="7" width="75" hidden="0" customWidth="1"/>
  </x:cols>
  <x:sheetData>
    <x:row r="1">
      <x:c r="A1" s="42" t="str">
        <x:v>Finding</x:v>
      </x:c>
      <x:c r="B1" s="42" t="str">
        <x:v>Axis</x:v>
      </x:c>
      <x:c r="C1" s="42" t="str">
        <x:v>Severity</x:v>
      </x:c>
      <x:c r="D1" s="42" t="str">
        <x:v>Title</x:v>
      </x:c>
      <x:c r="E1" s="42" t="str">
        <x:v>Status</x:v>
      </x:c>
      <x:c r="F1" s="42" t="str">
        <x:v>Resolved in</x:v>
      </x:c>
      <x:c r="G1" s="42" t="str">
        <x:v>Verification evidence</x:v>
      </x:c>
    </x:row>
    <x:row r="2">
      <x:c r="A2" s="18" t="str">
        <x:v>F001</x:v>
      </x:c>
      <x:c r="B2" s="18" t="str">
        <x:v>AX20</x:v>
      </x:c>
      <x:c r="C2" s="18" t="str">
        <x:v>high</x:v>
      </x:c>
      <x:c r="D2" s="18" t="str">
        <x:v>Release manifest is stale and system validator does not detect it</x:v>
      </x:c>
      <x:c r="E2" s="18" t="str">
        <x:v>resolved</x:v>
      </x:c>
      <x:c r="F2" s="18" t="str">
        <x:v>1.6.0</x:v>
      </x:c>
      <x:c r="G2" s="18" t="str">
        <x:v>TOOLS/build_manifest.py; TOOLS/validate_system.py; QUICK_AUDIT_v1.6.0_2026-09-30.json</x:v>
      </x:c>
    </x:row>
    <x:row r="3">
      <x:c r="A3" s="18" t="str">
        <x:v>F002</x:v>
      </x:c>
      <x:c r="B3" s="18" t="str">
        <x:v>AX02</x:v>
      </x:c>
      <x:c r="C3" s="18" t="str">
        <x:v>high</x:v>
      </x:c>
      <x:c r="D3" s="18" t="str">
        <x:v>init_project violates declared required-core contract</x:v>
      </x:c>
      <x:c r="E3" s="18" t="str">
        <x:v>resolved</x:v>
      </x:c>
      <x:c r="F3" s="18" t="str">
        <x:v>1.6.0</x:v>
      </x:c>
      <x:c r="G3" s="18" t="str">
        <x:v>TOOLS/init_project.py; TOOLS/smoke_test.py</x:v>
      </x:c>
    </x:row>
    <x:row r="4">
      <x:c r="A4" s="18" t="str">
        <x:v>F003</x:v>
      </x:c>
      <x:c r="B4" s="18" t="str">
        <x:v>AX11</x:v>
      </x:c>
      <x:c r="C4" s="18" t="str">
        <x:v>high</x:v>
      </x:c>
      <x:c r="D4" s="18" t="str">
        <x:v>Baseline bootstrap workbook pointer is broken</x:v>
      </x:c>
      <x:c r="E4" s="18" t="str">
        <x:v>resolved</x:v>
      </x:c>
      <x:c r="F4" s="18" t="str">
        <x:v>1.6.0</x:v>
      </x:c>
      <x:c r="G4" s="18" t="str">
        <x:v>TESTS/test_regressions_v16.py::test_bootstrap_is_self_contained_and_pointer_valid</x:v>
      </x:c>
    </x:row>
    <x:row r="5">
      <x:c r="A5" s="18" t="str">
        <x:v>F004</x:v>
      </x:c>
      <x:c r="B5" s="18" t="str">
        <x:v>AX06</x:v>
      </x:c>
      <x:c r="C5" s="18" t="str">
        <x:v>high</x:v>
      </x:c>
      <x:c r="D5" s="18" t="str">
        <x:v>Source-route changes are ignored by comparability gate</x:v>
      </x:c>
      <x:c r="E5" s="18" t="str">
        <x:v>resolved</x:v>
      </x:c>
      <x:c r="F5" s="18" t="str">
        <x:v>1.6.0</x:v>
      </x:c>
      <x:c r="G5" s="18" t="str">
        <x:v>TESTS/test_regressions_v16.py::test_source_route_change_blocks_market_diff_and_emits_meta</x:v>
      </x:c>
    </x:row>
    <x:row r="6">
      <x:c r="A6" s="18" t="str">
        <x:v>F005</x:v>
      </x:c>
      <x:c r="B6" s="18" t="str">
        <x:v>AX05</x:v>
      </x:c>
      <x:c r="C6" s="18" t="str">
        <x:v>high</x:v>
      </x:c>
      <x:c r="D6" s="18" t="str">
        <x:v>Previously seen entity can be falsely classified as new after a gap day</x:v>
      </x:c>
      <x:c r="E6" s="18" t="str">
        <x:v>resolved</x:v>
      </x:c>
      <x:c r="F6" s="18" t="str">
        <x:v>1.6.0</x:v>
      </x:c>
      <x:c r="G6" s="18" t="str">
        <x:v>TESTS/test_regressions_v16.py::test_gap_day_not_false_new</x:v>
      </x:c>
    </x:row>
    <x:row r="7">
      <x:c r="A7" s="18" t="str">
        <x:v>F006</x:v>
      </x:c>
      <x:c r="B7" s="18" t="str">
        <x:v>AX05</x:v>
      </x:c>
      <x:c r="C7" s="18" t="str">
        <x:v>high</x:v>
      </x:c>
      <x:c r="D7" s="18" t="str">
        <x:v>Reopened entity can be misclassified as new after an unobserved day</x:v>
      </x:c>
      <x:c r="E7" s="18" t="str">
        <x:v>resolved</x:v>
      </x:c>
      <x:c r="F7" s="18" t="str">
        <x:v>1.6.0</x:v>
      </x:c>
      <x:c r="G7" s="18" t="str">
        <x:v>TESTS/test_regressions_v16.py::test_gap_day_reopen</x:v>
      </x:c>
    </x:row>
    <x:row r="8">
      <x:c r="A8" s="18" t="str">
        <x:v>F007</x:v>
      </x:c>
      <x:c r="B8" s="18" t="str">
        <x:v>AX13</x:v>
      </x:c>
      <x:c r="C8" s="18" t="str">
        <x:v>high</x:v>
      </x:c>
      <x:c r="D8" s="18" t="str">
        <x:v>Repeated finalization causes ledger/run-file divergence</x:v>
      </x:c>
      <x:c r="E8" s="18" t="str">
        <x:v>resolved</x:v>
      </x:c>
      <x:c r="F8" s="18" t="str">
        <x:v>1.6.0</x:v>
      </x:c>
      <x:c r="G8" s="18" t="str">
        <x:v>TESTS/test_regressions_v16.py::test_finalization_immutable</x:v>
      </x:c>
    </x:row>
    <x:row r="9">
      <x:c r="A9" s="18" t="str">
        <x:v>F008</x:v>
      </x:c>
      <x:c r="B9" s="18" t="str">
        <x:v>AX13</x:v>
      </x:c>
      <x:c r="C9" s="18" t="str">
        <x:v>medium</x:v>
      </x:c>
      <x:c r="D9" s="18" t="str">
        <x:v>Rejected second active run leaves orphan run file</x:v>
      </x:c>
      <x:c r="E9" s="18" t="str">
        <x:v>resolved</x:v>
      </x:c>
      <x:c r="F9" s="18" t="str">
        <x:v>1.6.0</x:v>
      </x:c>
      <x:c r="G9" s="18" t="str">
        <x:v>TESTS/test_regressions_v16.py::test_second_active_run_leaves_no_orphan</x:v>
      </x:c>
    </x:row>
    <x:row r="10">
      <x:c r="A10" s="18" t="str">
        <x:v>F009</x:v>
      </x:c>
      <x:c r="B10" s="18" t="str">
        <x:v>AX14</x:v>
      </x:c>
      <x:c r="C10" s="18" t="str">
        <x:v>critical</x:v>
      </x:c>
      <x:c r="D10" s="18" t="str">
        <x:v>ProjectIndex path traversal can write outside the project root</x:v>
      </x:c>
      <x:c r="E10" s="18" t="str">
        <x:v>resolved</x:v>
      </x:c>
      <x:c r="F10" s="18" t="str">
        <x:v>1.6.0</x:v>
      </x:c>
      <x:c r="G10" s="18" t="str">
        <x:v>TESTS/test_regressions_v16.py::test_path_traversal_rejected; TOOLS/release_contracts.py::path_confinement</x:v>
      </x:c>
    </x:row>
    <x:row r="11">
      <x:c r="A11" s="18" t="str">
        <x:v>F010</x:v>
      </x:c>
      <x:c r="B11" s="18" t="str">
        <x:v>AX03</x:v>
      </x:c>
      <x:c r="C11" s="18" t="str">
        <x:v>high</x:v>
      </x:c>
      <x:c r="D11" s="18" t="str">
        <x:v>Project validator does not enforce task schema/enums</x:v>
      </x:c>
      <x:c r="E11" s="18" t="str">
        <x:v>resolved</x:v>
      </x:c>
      <x:c r="F11" s="18" t="str">
        <x:v>1.6.0</x:v>
      </x:c>
      <x:c r="G11" s="18" t="str">
        <x:v>TESTS/test_regressions_v16.py::test_invalid_task_enum_rejected; TOOLS/schema_lib.py</x:v>
      </x:c>
    </x:row>
    <x:row r="12">
      <x:c r="A12" s="18" t="str">
        <x:v>F011</x:v>
      </x:c>
      <x:c r="B12" s="18" t="str">
        <x:v>AX20</x:v>
      </x:c>
      <x:c r="C12" s="18" t="str">
        <x:v>high</x:v>
      </x:c>
      <x:c r="D12" s="18" t="str">
        <x:v>Manifest-listed missing files do not fail project validation</x:v>
      </x:c>
      <x:c r="E12" s="18" t="str">
        <x:v>resolved</x:v>
      </x:c>
      <x:c r="F12" s="18" t="str">
        <x:v>1.6.0</x:v>
      </x:c>
      <x:c r="G12" s="18" t="str">
        <x:v>TESTS/test_regressions_v16.py::test_manifest_missing_after_checkpoint_rejected</x:v>
      </x:c>
    </x:row>
    <x:row r="13">
      <x:c r="A13" s="18" t="str">
        <x:v>F012</x:v>
      </x:c>
      <x:c r="B13" s="18" t="str">
        <x:v>AX04</x:v>
      </x:c>
      <x:c r="C13" s="18" t="str">
        <x:v>medium</x:v>
      </x:c>
      <x:c r="D13" s="18" t="str">
        <x:v>Default observation idempotency can collapse distinct source provenance</x:v>
      </x:c>
      <x:c r="E13" s="18" t="str">
        <x:v>resolved</x:v>
      </x:c>
      <x:c r="F13" s="18" t="str">
        <x:v>1.6.0</x:v>
      </x:c>
      <x:c r="G13" s="18" t="str">
        <x:v>TESTS/test_regressions_v16.py::test_distinct_sources_preserve_provenance</x:v>
      </x:c>
    </x:row>
    <x:row r="14">
      <x:c r="A14" s="18" t="str">
        <x:v>F013</x:v>
      </x:c>
      <x:c r="B14" s="18" t="str">
        <x:v>AX18</x:v>
      </x:c>
      <x:c r="C14" s="18" t="str">
        <x:v>medium</x:v>
      </x:c>
      <x:c r="D14" s="18" t="str">
        <x:v>Explicit typo in previous-run ID is silently treated as no previous run</x:v>
      </x:c>
      <x:c r="E14" s="18" t="str">
        <x:v>resolved</x:v>
      </x:c>
      <x:c r="F14" s="18" t="str">
        <x:v>1.6.0</x:v>
      </x:c>
      <x:c r="G14" s="18" t="str">
        <x:v>TESTS/test_regressions_v16.py::test_bad_previous_run_id_fails</x:v>
      </x:c>
    </x:row>
    <x:row r="15">
      <x:c r="A15" s="18" t="str">
        <x:v>F014</x:v>
      </x:c>
      <x:c r="B15" s="18" t="str">
        <x:v>AX12</x:v>
      </x:c>
      <x:c r="C15" s="18" t="str">
        <x:v>high</x:v>
      </x:c>
      <x:c r="D15" s="18" t="str">
        <x:v>Project config exposes an override that contradicts a hard invariant</x:v>
      </x:c>
      <x:c r="E15" s="18" t="str">
        <x:v>resolved</x:v>
      </x:c>
      <x:c r="F15" s="18" t="str">
        <x:v>1.6.0</x:v>
      </x:c>
      <x:c r="G15" s="18" t="str">
        <x:v>TESTS/test_regressions_v16.py::test_forbidden_config_override_rejected; TOOLS/release_contracts.py::hard_invariant_config</x:v>
      </x:c>
    </x:row>
    <x:row r="16">
      <x:c r="A16" s="18" t="str">
        <x:v>F015</x:v>
      </x:c>
      <x:c r="B16" s="18" t="str">
        <x:v>AX02</x:v>
      </x:c>
      <x:c r="C16" s="18" t="str">
        <x:v>high</x:v>
      </x:c>
      <x:c r="D16" s="18" t="str">
        <x:v>Task acceptance tests are not enforced before done state</x:v>
      </x:c>
      <x:c r="E16" s="18" t="str">
        <x:v>resolved</x:v>
      </x:c>
      <x:c r="F16" s="18" t="str">
        <x:v>1.6.0</x:v>
      </x:c>
      <x:c r="G16" s="18" t="str">
        <x:v>TESTS/test_regressions_v16.py::test_done_task_requires_acceptance_and_outputs</x:v>
      </x:c>
    </x:row>
    <x:row r="17">
      <x:c r="A17" s="18" t="str">
        <x:v>F016</x:v>
      </x:c>
      <x:c r="B17" s="18" t="str">
        <x:v>AX06</x:v>
      </x:c>
      <x:c r="C17" s="18" t="str">
        <x:v>high</x:v>
      </x:c>
      <x:c r="D17" s="18" t="str">
        <x:v>Not-comparable runs still emit field-change events</x:v>
      </x:c>
      <x:c r="E17" s="18" t="str">
        <x:v>resolved</x:v>
      </x:c>
      <x:c r="F17" s="18" t="str">
        <x:v>1.6.0</x:v>
      </x:c>
      <x:c r="G17" s="18" t="str">
        <x:v>TESTS/test_regressions_v16.py::test_method_change_emits_meta_not_field_change; ::test_scope_change_emits_meta_not_field_change</x:v>
      </x:c>
    </x:row>
    <x:row r="18">
      <x:c r="A18" s="18" t="str">
        <x:v>F017</x:v>
      </x:c>
      <x:c r="B18" s="18" t="str">
        <x:v>AX06</x:v>
      </x:c>
      <x:c r="C18" s="18" t="str">
        <x:v>medium</x:v>
      </x:c>
      <x:c r="D18" s="18" t="str">
        <x:v>Promised method_changed/scope_changed/status_changed events are not implemented</x:v>
      </x:c>
      <x:c r="E18" s="18" t="str">
        <x:v>resolved</x:v>
      </x:c>
      <x:c r="F18" s="18" t="str">
        <x:v>1.6.0</x:v>
      </x:c>
      <x:c r="G18" s="18" t="str">
        <x:v>TESTS/test_regressions_v16.py::test_method_change_emits_meta_not_field_change; ::test_scope_change_emits_meta_not_field_change; ::test_status_changed_event_is_emitted</x:v>
      </x:c>
    </x:row>
    <x:row r="19">
      <x:c r="A19" s="18" t="str">
        <x:v>F018</x:v>
      </x:c>
      <x:c r="B19" s="18" t="str">
        <x:v>AX06</x:v>
      </x:c>
      <x:c r="C19" s="18" t="str">
        <x:v>high</x:v>
      </x:c>
      <x:c r="D19" s="18" t="str">
        <x:v>Supported Daily Run CLI cannot record source routes</x:v>
      </x:c>
      <x:c r="E19" s="18" t="str">
        <x:v>resolved</x:v>
      </x:c>
      <x:c r="F19" s="18" t="str">
        <x:v>1.6.0</x:v>
      </x:c>
      <x:c r="G19" s="18" t="str">
        <x:v>TESTS/test_regressions_v16.py::test_source_route_change_blocks_market_diff_and_emits_meta</x:v>
      </x:c>
    </x:row>
    <x:row r="20">
      <x:c r="A20" s="18" t="str">
        <x:v>F019</x:v>
      </x:c>
      <x:c r="B20" s="18" t="str">
        <x:v>AX03</x:v>
      </x:c>
      <x:c r="C20" s="18" t="str">
        <x:v>high</x:v>
      </x:c>
      <x:c r="D20" s="18" t="str">
        <x:v>Schema system uses two incompatible dialects without a unified validator</x:v>
      </x:c>
      <x:c r="E20" s="18" t="str">
        <x:v>resolved</x:v>
      </x:c>
      <x:c r="F20" s="18" t="str">
        <x:v>1.6.0</x:v>
      </x:c>
      <x:c r="G20" s="18" t="str">
        <x:v>TOOLS/schema_lib.py; TOOLS/validate_project.py; TOOLS/validate_system.py</x:v>
      </x:c>
    </x:row>
    <x:row r="21">
      <x:c r="A21" s="18" t="str">
        <x:v>F020</x:v>
      </x:c>
      <x:c r="B21" s="18" t="str">
        <x:v>AX15</x:v>
      </x:c>
      <x:c r="C21" s="18" t="str">
        <x:v>high</x:v>
      </x:c>
      <x:c r="D21" s="18" t="str">
        <x:v>Migration contract is documented but no migration implementation/support matrix exists</x:v>
      </x:c>
      <x:c r="E21" s="18" t="str">
        <x:v>resolved</x:v>
      </x:c>
      <x:c r="F21" s="18" t="str">
        <x:v>1.6.0</x:v>
      </x:c>
      <x:c r="G21" s="18" t="str">
        <x:v>TOOLS/migrate_project.py; MIGRATIONS/SUPPORT_MATRIX.json; TESTS/test_regressions_v16.py::test_migration_15_to_16</x:v>
      </x:c>
    </x:row>
    <x:row r="22">
      <x:c r="A22" s="18" t="str">
        <x:v>F021</x:v>
      </x:c>
      <x:c r="B22" s="18" t="str">
        <x:v>AX13</x:v>
      </x:c>
      <x:c r="C22" s="18" t="str">
        <x:v>high</x:v>
      </x:c>
      <x:c r="D22" s="18" t="str">
        <x:v>Multi-file state updates are not transactional and there is no locking</x:v>
      </x:c>
      <x:c r="E22" s="18" t="str">
        <x:v>resolved</x:v>
      </x:c>
      <x:c r="F22" s="18" t="str">
        <x:v>1.6.0</x:v>
      </x:c>
      <x:c r="G22" s="18" t="str">
        <x:v>TOOLS/runtime_lib.py::project_lock/write_recoverable_bundle; TESTS/test_regressions_v16.py::test_project_lock_serializes_mutations; ::test_prepared_transaction_is_recovered</x:v>
      </x:c>
    </x:row>
    <x:row r="23">
      <x:c r="A23" s="18" t="str">
        <x:v>F022</x:v>
      </x:c>
      <x:c r="B23" s="18" t="str">
        <x:v>AX17</x:v>
      </x:c>
      <x:c r="C23" s="18" t="str">
        <x:v>medium</x:v>
      </x:c>
      <x:c r="D23" s="18" t="str">
        <x:v>Ledger algorithms have unbounded linear/quadratic behavior with no scale target</x:v>
      </x:c>
      <x:c r="E23" s="18" t="str">
        <x:v>resolved</x:v>
      </x:c>
      <x:c r="F23" s="18" t="str">
        <x:v>1.6.0</x:v>
      </x:c>
      <x:c r="G23" s="18" t="str">
        <x:v>TOOLS/benchmark_runtime.py; CORE/SYSTEM_SCALE.json</x:v>
      </x:c>
    </x:row>
    <x:row r="24">
      <x:c r="A24" s="18" t="str">
        <x:v>F023</x:v>
      </x:c>
      <x:c r="B24" s="18" t="str">
        <x:v>AX19</x:v>
      </x:c>
      <x:c r="C24" s="18" t="str">
        <x:v>high</x:v>
      </x:c>
      <x:c r="D24" s="18" t="str">
        <x:v>Release validator does not run contract tests or smoke tests</x:v>
      </x:c>
      <x:c r="E24" s="18" t="str">
        <x:v>resolved</x:v>
      </x:c>
      <x:c r="F24" s="18" t="str">
        <x:v>1.6.0</x:v>
      </x:c>
      <x:c r="G24" s="18" t="str">
        <x:v>TOOLS/validate_system.py; TOOLS/release_contracts.py; TOOLS/smoke_test.py</x:v>
      </x:c>
    </x:row>
    <x:row r="25">
      <x:c r="A25" s="18" t="str">
        <x:v>F024</x:v>
      </x:c>
      <x:c r="B25" s="18" t="str">
        <x:v>AX19</x:v>
      </x:c>
      <x:c r="C25" s="18" t="str">
        <x:v>medium</x:v>
      </x:c>
      <x:c r="D25" s="18" t="str">
        <x:v>Smoke test does not exercise DailyDiff despite testing contract saying it should</x:v>
      </x:c>
      <x:c r="E25" s="18" t="str">
        <x:v>resolved</x:v>
      </x:c>
      <x:c r="F25" s="18" t="str">
        <x:v>1.6.0</x:v>
      </x:c>
      <x:c r="G25" s="18" t="str">
        <x:v>TOOLS/smoke_test.py (DailyDiff path exercised)</x:v>
      </x:c>
    </x:row>
    <x:row r="26">
      <x:c r="A26" s="18" t="str">
        <x:v>F025</x:v>
      </x:c>
      <x:c r="B26" s="18" t="str">
        <x:v>AX07</x:v>
      </x:c>
      <x:c r="C26" s="18" t="str">
        <x:v>high</x:v>
      </x:c>
      <x:c r="D26" s="18" t="str">
        <x:v>Claim/evidence/source traceability is not machine-validated</x:v>
      </x:c>
      <x:c r="E26" s="18" t="str">
        <x:v>resolved</x:v>
      </x:c>
      <x:c r="F26" s="18" t="str">
        <x:v>1.6.0</x:v>
      </x:c>
      <x:c r="G26" s="18" t="str">
        <x:v>TESTS/test_regressions_v16.py::test_claim_traceability_rejects_unknown_evidence_and_source</x:v>
      </x:c>
    </x:row>
    <x:row r="27">
      <x:c r="A27" s="18" t="str">
        <x:v>F026</x:v>
      </x:c>
      <x:c r="B27" s="18" t="str">
        <x:v>AX08</x:v>
      </x:c>
      <x:c r="C27" s="18" t="str">
        <x:v>medium</x:v>
      </x:c>
      <x:c r="D27" s="18" t="str">
        <x:v>Sampling/measurement contract is documented but not executable</x:v>
      </x:c>
      <x:c r="E27" s="18" t="str">
        <x:v>resolved</x:v>
      </x:c>
      <x:c r="F27" s="18" t="str">
        <x:v>1.6.0</x:v>
      </x:c>
      <x:c r="G27" s="18" t="str">
        <x:v>TESTS/test_regressions_v16.py::test_frequency_measurement_rejects_wrong_sample</x:v>
      </x:c>
    </x:row>
    <x:row r="28">
      <x:c r="A28" s="18" t="str">
        <x:v>F027</x:v>
      </x:c>
      <x:c r="B28" s="18" t="str">
        <x:v>AX10</x:v>
      </x:c>
      <x:c r="C28" s="18" t="str">
        <x:v>medium</x:v>
      </x:c>
      <x:c r="D28" s="18" t="str">
        <x:v>Dependency propagation is not validated or integrated with change events</x:v>
      </x:c>
      <x:c r="E28" s="18" t="str">
        <x:v>resolved</x:v>
      </x:c>
      <x:c r="F28" s="18" t="str">
        <x:v>1.6.0</x:v>
      </x:c>
      <x:c r="G28" s="18" t="str">
        <x:v>TESTS/test_regressions_v16.py::test_dependency_graph_unknown_node_and_cycle_rejected; ::test_dependency_impact_attached_to_change_event</x:v>
      </x:c>
    </x:row>
    <x:row r="29">
      <x:c r="A29" s="18" t="str">
        <x:v>F028</x:v>
      </x:c>
      <x:c r="B29" s="18" t="str">
        <x:v>AX11</x:v>
      </x:c>
      <x:c r="C29" s="18" t="str">
        <x:v>medium</x:v>
      </x:c>
      <x:c r="D29" s="18" t="str">
        <x:v>Bootstrap baseline pointers are absolute and cycle is not fully self-contained</x:v>
      </x:c>
      <x:c r="E29" s="18" t="str">
        <x:v>resolved</x:v>
      </x:c>
      <x:c r="F29" s="18" t="str">
        <x:v>1.6.0</x:v>
      </x:c>
      <x:c r="G29" s="18" t="str">
        <x:v>TESTS/test_regressions_v16.py::test_bootstrap_is_self_contained_and_pointer_valid; ::test_bootstrap_rejects_baseline_symlink; ::test_bootstrap_rejects_zip_traversal</x:v>
      </x:c>
    </x:row>
    <x:row r="30">
      <x:c r="A30" s="18" t="str">
        <x:v>F029</x:v>
      </x:c>
      <x:c r="B30" s="18" t="str">
        <x:v>AX16</x:v>
      </x:c>
      <x:c r="C30" s="18" t="str">
        <x:v>low</x:v>
      </x:c>
      <x:c r="D30" s="18" t="str">
        <x:v>Runtime environment requirements are implicit</x:v>
      </x:c>
      <x:c r="E30" s="18" t="str">
        <x:v>resolved</x:v>
      </x:c>
      <x:c r="F30" s="18" t="str">
        <x:v>1.6.0</x:v>
      </x:c>
      <x:c r="G30" s="18" t="str">
        <x:v>CORE/RUNTIME_REQUIREMENTS.json; TOOLS/validate_system.py</x:v>
      </x:c>
    </x:row>
    <x:row r="31">
      <x:c r="A31" s="18" t="str">
        <x:v>F030</x:v>
      </x:c>
      <x:c r="B31" s="18" t="str">
        <x:v>AX09</x:v>
      </x:c>
      <x:c r="C31" s="18" t="str">
        <x:v>medium</x:v>
      </x:c>
      <x:c r="D31" s="18" t="str">
        <x:v>Economics validity has strong prose rules but no executable prerequisite validation</x:v>
      </x:c>
      <x:c r="E31" s="18" t="str">
        <x:v>resolved</x:v>
      </x:c>
      <x:c r="F31" s="18" t="str">
        <x:v>1.6.0</x:v>
      </x:c>
      <x:c r="G31" s="18" t="str">
        <x:v>TESTS/test_regressions_v16.py::test_economics_derived_rate_requires_basis; TOOLS/economics_summary.py</x:v>
      </x:c>
    </x:row>
    <x:row r="32">
      <x:c r="A32" s="18" t="str">
        <x:v>F031</x:v>
      </x:c>
      <x:c r="B32" s="18" t="str">
        <x:v>AX12</x:v>
      </x:c>
      <x:c r="C32" s="18" t="str">
        <x:v>medium</x:v>
      </x:c>
      <x:c r="D32" s="18" t="str">
        <x:v>Several documented configurable policies are not consumed by runtime tools</x:v>
      </x:c>
      <x:c r="E32" s="18" t="str">
        <x:v>resolved</x:v>
      </x:c>
      <x:c r="F32" s="18" t="str">
        <x:v>1.6.0</x:v>
      </x:c>
      <x:c r="G32" s="18" t="str">
        <x:v>TESTS/test_regressions_v16.py::test_config_method_and_source_overrides_are_consumed; ::test_daily_run_disabled_is_enforced; ::test_unknown_project_config_key_rejected; ::test_economics_summary_honors_minimum_display_config</x:v>
      </x:c>
    </x:row>
    <x:row r="33">
      <x:c r="A33" s="18" t="str">
        <x:v>F032</x:v>
      </x:c>
      <x:c r="B33" s="18" t="str">
        <x:v>AX18</x:v>
      </x:c>
      <x:c r="C33" s="18" t="str">
        <x:v>medium</x:v>
      </x:c>
      <x:c r="D33" s="18" t="str">
        <x:v>No repair/reconciliation command for divergent/orphan runtime artifacts</x:v>
      </x:c>
      <x:c r="E33" s="18" t="str">
        <x:v>resolved</x:v>
      </x:c>
      <x:c r="F33" s="18" t="str">
        <x:v>1.6.0</x:v>
      </x:c>
      <x:c r="G33" s="18" t="str">
        <x:v>TOOLS/repair_project.py; TESTS/test_regressions_v16.py::test_repair_reconciles_divergent_run_and_orphan</x:v>
      </x:c>
    </x:row>
  </x:sheetData>
  <x:conditionalFormatting sqref="E2:E33">
    <x:cfRule type="expression" dxfId="7" priority="1">
      <x:formula>E2="resolved"</x:formula>
    </x:cfRule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28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36" hidden="0" customWidth="1"/>
    <x:col min="10" max="10" width="28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>
      <x:c r="A1" s="87" t="str">
        <x:v>Use Case Registry v3.1 — derived summary, not canonical</x:v>
      </x:c>
      <x:c r="B1" s="87"/>
      <x:c r="C1" s="87"/>
      <x:c r="D1" s="87"/>
      <x:c r="E1" s="87"/>
      <x:c r="F1" s="87"/>
      <x:c r="G1" s="87"/>
      <x:c r="H1" s="87"/>
      <x:c r="I1" s="87"/>
      <x:c r="J1" s="47"/>
      <x:c r="K1" s="50"/>
      <x:c r="L1" s="50"/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</x:row>
    <x:row r="3">
      <x:c r="A3" s="89" t="str">
        <x:v>Field</x:v>
      </x:c>
      <x:c r="B3" s="89" t="str">
        <x:v>Value</x:v>
      </x:c>
      <x:c r="C3" s="18"/>
      <x:c r="D3" s="18"/>
      <x:c r="E3" s="18"/>
      <x:c r="F3" s="18"/>
      <x:c r="G3" s="18"/>
      <x:c r="H3" s="18"/>
      <x:c r="I3" s="18"/>
      <x:c r="J3" s="18"/>
      <x:c r="K3" s="89" t="str">
        <x:v>Result product</x:v>
      </x:c>
      <x:c r="L3" s="89" t="str">
        <x:v>Status</x:v>
      </x:c>
      <x:c r="M3" s="89" t="str">
        <x:v>Query UC</x:v>
      </x:c>
    </x:row>
    <x:row r="4">
      <x:c r="A4" s="18" t="str">
        <x:v>Canonical registry</x:v>
      </x:c>
      <x:c r="B4" s="18" t="str">
        <x:v>CORE/USE_CASE_REGISTRY.json</x:v>
      </x:c>
      <x:c r="C4" s="18"/>
      <x:c r="D4" s="18"/>
      <x:c r="E4" s="18"/>
      <x:c r="F4" s="18"/>
      <x:c r="G4" s="18"/>
      <x:c r="H4" s="18"/>
      <x:c r="I4" s="18"/>
      <x:c r="J4" s="18"/>
      <x:c r="K4" s="18" t="str">
        <x:v>CurrentStateSnapshot</x:v>
      </x:c>
      <x:c r="L4" s="18" t="str">
        <x:v>contract only</x:v>
      </x:c>
      <x:c r="M4" s="18" t="str">
        <x:v>UC21</x:v>
      </x:c>
    </x:row>
    <x:row r="5">
      <x:c r="A5" s="18" t="str">
        <x:v>Registry version</x:v>
      </x:c>
      <x:c r="B5" s="18" t="str">
        <x:v>3.1.0</x:v>
      </x:c>
      <x:c r="C5" s="18"/>
      <x:c r="D5" s="18"/>
      <x:c r="E5" s="18"/>
      <x:c r="F5" s="18"/>
      <x:c r="G5" s="18"/>
      <x:c r="H5" s="18"/>
      <x:c r="I5" s="18"/>
      <x:c r="J5" s="18"/>
      <x:c r="K5" s="18" t="str">
        <x:v>ChangeSet</x:v>
      </x:c>
      <x:c r="L5" s="18" t="str">
        <x:v>contract only</x:v>
      </x:c>
      <x:c r="M5" s="18" t="str">
        <x:v>UC22</x:v>
      </x:c>
    </x:row>
    <x:row r="6">
      <x:c r="A6" s="18" t="str">
        <x:v>Contract version</x:v>
      </x:c>
      <x:c r="B6" s="18" t="str">
        <x:v>3.0.0</x:v>
      </x:c>
      <x:c r="C6" s="18"/>
      <x:c r="D6" s="18"/>
      <x:c r="E6" s="18"/>
      <x:c r="F6" s="18"/>
      <x:c r="G6" s="18"/>
      <x:c r="H6" s="18"/>
      <x:c r="I6" s="18"/>
      <x:c r="J6" s="18"/>
      <x:c r="K6" s="18" t="str">
        <x:v>TrendSeries</x:v>
      </x:c>
      <x:c r="L6" s="18" t="str">
        <x:v>contract only</x:v>
      </x:c>
      <x:c r="M6" s="18" t="str">
        <x:v>UC23</x:v>
      </x:c>
    </x:row>
    <x:row r="7">
      <x:c r="A7" s="18" t="str">
        <x:v>System version</x:v>
      </x:c>
      <x:c r="B7" s="18" t="str">
        <x:v>1.11.0</x:v>
      </x:c>
      <x:c r="C7" s="18"/>
      <x:c r="D7" s="18"/>
      <x:c r="E7" s="18"/>
      <x:c r="F7" s="18"/>
      <x:c r="G7" s="18"/>
      <x:c r="H7" s="18"/>
      <x:c r="I7" s="18"/>
      <x:c r="J7" s="18"/>
      <x:c r="K7" s="18" t="str">
        <x:v>InterpretationRecord</x:v>
      </x:c>
      <x:c r="L7" s="18" t="str">
        <x:v>contract only</x:v>
      </x:c>
      <x:c r="M7" s="18" t="str">
        <x:v>UC24</x:v>
      </x:c>
    </x:row>
    <x:row r="8">
      <x:c r="A8" s="18" t="str">
        <x:v>Implemented use cases</x:v>
      </x:c>
      <x:c r="B8" s="18" t="n">
        <x:v>25</x:v>
      </x:c>
      <x:c r="C8" s="18"/>
      <x:c r="D8" s="18"/>
      <x:c r="E8" s="18"/>
      <x:c r="F8" s="18"/>
      <x:c r="G8" s="18"/>
      <x:c r="H8" s="18"/>
      <x:c r="I8" s="18"/>
      <x:c r="J8" s="18"/>
      <x:c r="K8" s="18" t="str">
        <x:v>ResearchHealthSnapshot</x:v>
      </x:c>
      <x:c r="L8" s="18" t="str">
        <x:v>contract only</x:v>
      </x:c>
      <x:c r="M8" s="18" t="str">
        <x:v>UC25</x:v>
      </x:c>
    </x:row>
    <x:row r="9">
      <x:c r="A9" s="18" t="str">
        <x:v>Semantic groups</x:v>
      </x:c>
      <x:c r="B9" s="18" t="n">
        <x:v>6</x:v>
      </x:c>
      <x:c r="C9" s="18"/>
      <x:c r="D9" s="18"/>
      <x:c r="E9" s="18"/>
      <x:c r="F9" s="18"/>
      <x:c r="G9" s="18"/>
      <x:c r="H9" s="18"/>
      <x:c r="I9" s="18"/>
      <x:c r="J9" s="18"/>
      <x:c r="K9" s="18" t="str">
        <x:v>Projection backend</x:v>
      </x:c>
      <x:c r="L9" s="18" t="str">
        <x:v>planned Phase 3</x:v>
      </x:c>
      <x:c r="M9" s="18" t="str">
        <x:v>—</x:v>
      </x:c>
    </x:row>
    <x:row r="10">
      <x:c r="A10" s="18" t="str">
        <x:v>Query use cases</x:v>
      </x:c>
      <x:c r="B10" s="18" t="n">
        <x:v>5</x:v>
      </x:c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</x:row>
    <x:row r="11">
      <x:c r="A11" s="18" t="str">
        <x:v>Result products</x:v>
      </x:c>
      <x:c r="B11" s="18" t="str">
        <x:v>5 contract-defined; projection backend Phase 3</x:v>
      </x:c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</x:row>
    <x:row r="12">
      <x:c r="A12" s="82"/>
      <x:c r="B12" s="82"/>
      <x:c r="C12" s="82"/>
      <x:c r="D12" s="82"/>
      <x:c r="E12" s="82"/>
      <x:c r="F12" s="82"/>
      <x:c r="G12" s="82"/>
      <x:c r="H12" s="82"/>
      <x:c r="I12" s="18"/>
      <x:c r="J12" s="18"/>
      <x:c r="K12" s="18"/>
      <x:c r="L12" s="18"/>
    </x:row>
    <x:row r="13">
      <x:c r="A13" s="89" t="str">
        <x:v>UC</x:v>
      </x:c>
      <x:c r="B13" s="89" t="str">
        <x:v>Group</x:v>
      </x:c>
      <x:c r="C13" s="89" t="str">
        <x:v>Interaction</x:v>
      </x:c>
      <x:c r="D13" s="89" t="str">
        <x:v>Action class</x:v>
      </x:c>
      <x:c r="E13" s="89" t="str">
        <x:v>Inputs</x:v>
      </x:c>
      <x:c r="F13" s="89" t="str">
        <x:v>Outputs</x:v>
      </x:c>
      <x:c r="G13" s="89" t="str">
        <x:v>Reads</x:v>
      </x:c>
      <x:c r="H13" s="89" t="str">
        <x:v>Writes</x:v>
      </x:c>
      <x:c r="I13" s="89" t="str">
        <x:v>UI surfaces</x:v>
      </x:c>
      <x:c r="J13" s="18"/>
      <x:c r="K13" s="18"/>
      <x:c r="L13" s="18"/>
    </x:row>
    <x:row r="14">
      <x:c r="A14" s="18" t="str">
        <x:v>UC01</x:v>
      </x:c>
      <x:c r="B14" s="18" t="str">
        <x:v>lifecycle</x:v>
      </x:c>
      <x:c r="C14" s="18" t="str">
        <x:v>orchestration</x:v>
      </x:c>
      <x:c r="D14" s="18" t="str">
        <x:v>project.initialize</x:v>
      </x:c>
      <x:c r="E14" s="18" t="n">
        <x:v>1</x:v>
      </x:c>
      <x:c r="F14" s="18" t="n">
        <x:v>1</x:v>
      </x:c>
      <x:c r="G14" s="18" t="n">
        <x:v>2</x:v>
      </x:c>
      <x:c r="H14" s="18" t="n">
        <x:v>5</x:v>
      </x:c>
      <x:c r="I14" s="18" t="str"/>
      <x:c r="J14" s="18"/>
      <x:c r="K14" s="18"/>
      <x:c r="L14" s="18"/>
    </x:row>
    <x:row r="15">
      <x:c r="A15" s="18" t="str">
        <x:v>UC02</x:v>
      </x:c>
      <x:c r="B15" s="18" t="str">
        <x:v>lifecycle</x:v>
      </x:c>
      <x:c r="C15" s="18" t="str">
        <x:v>orchestration</x:v>
      </x:c>
      <x:c r="D15" s="18" t="str">
        <x:v>project.continue</x:v>
      </x:c>
      <x:c r="E15" s="18" t="n">
        <x:v>1</x:v>
      </x:c>
      <x:c r="F15" s="18" t="n">
        <x:v>2</x:v>
      </x:c>
      <x:c r="G15" s="18" t="n">
        <x:v>2</x:v>
      </x:c>
      <x:c r="H15" s="18" t="n">
        <x:v>3</x:v>
      </x:c>
      <x:c r="I15" s="18" t="str"/>
      <x:c r="J15" s="18"/>
      <x:c r="K15" s="18"/>
      <x:c r="L15" s="18"/>
    </x:row>
    <x:row r="16">
      <x:c r="A16" s="18" t="str">
        <x:v>UC03</x:v>
      </x:c>
      <x:c r="B16" s="18" t="str">
        <x:v>lifecycle</x:v>
      </x:c>
      <x:c r="C16" s="18" t="str">
        <x:v>orchestration</x:v>
      </x:c>
      <x:c r="D16" s="18" t="str">
        <x:v>task.execute</x:v>
      </x:c>
      <x:c r="E16" s="18" t="n">
        <x:v>1</x:v>
      </x:c>
      <x:c r="F16" s="18" t="n">
        <x:v>1</x:v>
      </x:c>
      <x:c r="G16" s="18" t="n">
        <x:v>4</x:v>
      </x:c>
      <x:c r="H16" s="18" t="n">
        <x:v>3</x:v>
      </x:c>
      <x:c r="I16" s="18" t="str"/>
      <x:c r="J16" s="18"/>
      <x:c r="K16" s="18"/>
      <x:c r="L16" s="18"/>
    </x:row>
    <x:row r="17">
      <x:c r="A17" s="18" t="str">
        <x:v>UC04</x:v>
      </x:c>
      <x:c r="B17" s="18" t="str">
        <x:v>acquisition</x:v>
      </x:c>
      <x:c r="C17" s="18" t="str">
        <x:v>command</x:v>
      </x:c>
      <x:c r="D17" s="18" t="str">
        <x:v>discovery.channels</x:v>
      </x:c>
      <x:c r="E17" s="18" t="n">
        <x:v>1</x:v>
      </x:c>
      <x:c r="F17" s="18" t="n">
        <x:v>1</x:v>
      </x:c>
      <x:c r="G17" s="18" t="n">
        <x:v>2</x:v>
      </x:c>
      <x:c r="H17" s="18" t="n">
        <x:v>1</x:v>
      </x:c>
      <x:c r="I17" s="18" t="str"/>
      <x:c r="J17" s="18"/>
      <x:c r="K17" s="18"/>
      <x:c r="L17" s="18"/>
    </x:row>
    <x:row r="18">
      <x:c r="A18" s="18" t="str">
        <x:v>UC05</x:v>
      </x:c>
      <x:c r="B18" s="18" t="str">
        <x:v>acquisition</x:v>
      </x:c>
      <x:c r="C18" s="18" t="str">
        <x:v>command</x:v>
      </x:c>
      <x:c r="D18" s="18" t="str">
        <x:v>source.verify</x:v>
      </x:c>
      <x:c r="E18" s="18" t="n">
        <x:v>1</x:v>
      </x:c>
      <x:c r="F18" s="18" t="n">
        <x:v>1</x:v>
      </x:c>
      <x:c r="G18" s="18" t="n">
        <x:v>2</x:v>
      </x:c>
      <x:c r="H18" s="18" t="n">
        <x:v>3</x:v>
      </x:c>
      <x:c r="I18" s="18" t="str"/>
      <x:c r="J18" s="18"/>
      <x:c r="K18" s="18"/>
      <x:c r="L18" s="18"/>
    </x:row>
    <x:row r="19">
      <x:c r="A19" s="18" t="str">
        <x:v>UC06</x:v>
      </x:c>
      <x:c r="B19" s="18" t="str">
        <x:v>acquisition</x:v>
      </x:c>
      <x:c r="C19" s="18" t="str">
        <x:v>command</x:v>
      </x:c>
      <x:c r="D19" s="18" t="str">
        <x:v>market.observe_paid_work</x:v>
      </x:c>
      <x:c r="E19" s="18" t="n">
        <x:v>1</x:v>
      </x:c>
      <x:c r="F19" s="18" t="n">
        <x:v>1</x:v>
      </x:c>
      <x:c r="G19" s="18" t="n">
        <x:v>2</x:v>
      </x:c>
      <x:c r="H19" s="18" t="n">
        <x:v>2</x:v>
      </x:c>
      <x:c r="I19" s="18" t="str"/>
      <x:c r="J19" s="18"/>
      <x:c r="K19" s="18"/>
      <x:c r="L19" s="18"/>
    </x:row>
    <x:row r="20">
      <x:c r="A20" s="18" t="str">
        <x:v>UC07</x:v>
      </x:c>
      <x:c r="B20" s="18" t="str">
        <x:v>analysis</x:v>
      </x:c>
      <x:c r="C20" s="18" t="str">
        <x:v>command</x:v>
      </x:c>
      <x:c r="D20" s="18" t="str">
        <x:v>market.normalize</x:v>
      </x:c>
      <x:c r="E20" s="18" t="n">
        <x:v>1</x:v>
      </x:c>
      <x:c r="F20" s="18" t="n">
        <x:v>1</x:v>
      </x:c>
      <x:c r="G20" s="18" t="n">
        <x:v>2</x:v>
      </x:c>
      <x:c r="H20" s="18" t="n">
        <x:v>1</x:v>
      </x:c>
      <x:c r="I20" s="18" t="str"/>
      <x:c r="J20" s="18"/>
      <x:c r="K20" s="18"/>
      <x:c r="L20" s="18"/>
    </x:row>
    <x:row r="21">
      <x:c r="A21" s="18" t="str">
        <x:v>UC08</x:v>
      </x:c>
      <x:c r="B21" s="18" t="str">
        <x:v>analysis</x:v>
      </x:c>
      <x:c r="C21" s="18" t="str">
        <x:v>command</x:v>
      </x:c>
      <x:c r="D21" s="18" t="str">
        <x:v>market.measure</x:v>
      </x:c>
      <x:c r="E21" s="18" t="n">
        <x:v>2</x:v>
      </x:c>
      <x:c r="F21" s="18" t="n">
        <x:v>1</x:v>
      </x:c>
      <x:c r="G21" s="18" t="n">
        <x:v>3</x:v>
      </x:c>
      <x:c r="H21" s="18" t="n">
        <x:v>2</x:v>
      </x:c>
      <x:c r="I21" s="18" t="str">
        <x:v>Trends:refresh_underlying_metric, Current State:refresh_metric, Direction Detail:refresh_metric, Coverage &amp; Quality:refresh_metric</x:v>
      </x:c>
      <x:c r="J21" s="18"/>
      <x:c r="K21" s="18"/>
      <x:c r="L21" s="18"/>
    </x:row>
    <x:row r="22">
      <x:c r="A22" s="18" t="str">
        <x:v>UC09</x:v>
      </x:c>
      <x:c r="B22" s="18" t="str">
        <x:v>maintenance</x:v>
      </x:c>
      <x:c r="C22" s="18" t="str">
        <x:v>command</x:v>
      </x:c>
      <x:c r="D22" s="18" t="str">
        <x:v>temporal.monitor</x:v>
      </x:c>
      <x:c r="E22" s="18" t="n">
        <x:v>2</x:v>
      </x:c>
      <x:c r="F22" s="18" t="n">
        <x:v>1</x:v>
      </x:c>
      <x:c r="G22" s="18" t="n">
        <x:v>3</x:v>
      </x:c>
      <x:c r="H22" s="18" t="n">
        <x:v>4</x:v>
      </x:c>
      <x:c r="I22" s="18" t="str">
        <x:v>Daily Changes:run_today, Current State:refresh_scope, Direction Detail:refresh_scope, Coverage &amp; Quality:refresh_scope</x:v>
      </x:c>
    </x:row>
    <x:row r="23">
      <x:c r="A23" s="18" t="str">
        <x:v>UC10</x:v>
      </x:c>
      <x:c r="B23" s="18" t="str">
        <x:v>acquisition</x:v>
      </x:c>
      <x:c r="C23" s="18" t="str">
        <x:v>command</x:v>
      </x:c>
      <x:c r="D23" s="18" t="str">
        <x:v>discovery.rediscover</x:v>
      </x:c>
      <x:c r="E23" s="18" t="n">
        <x:v>1</x:v>
      </x:c>
      <x:c r="F23" s="18" t="n">
        <x:v>1</x:v>
      </x:c>
      <x:c r="G23" s="18" t="n">
        <x:v>2</x:v>
      </x:c>
      <x:c r="H23" s="18" t="n">
        <x:v>2</x:v>
      </x:c>
      <x:c r="I23" s="18" t="str">
        <x:v>Current State:rediscover, Coverage &amp; Quality:rediscover</x:v>
      </x:c>
    </x:row>
    <x:row r="24">
      <x:c r="A24" s="18" t="str">
        <x:v>UC11</x:v>
      </x:c>
      <x:c r="B24" s="18" t="str">
        <x:v>analysis</x:v>
      </x:c>
      <x:c r="C24" s="18" t="str">
        <x:v>command</x:v>
      </x:c>
      <x:c r="D24" s="18" t="str">
        <x:v>evidence.triangulate</x:v>
      </x:c>
      <x:c r="E24" s="18" t="n">
        <x:v>1</x:v>
      </x:c>
      <x:c r="F24" s="18" t="n">
        <x:v>1</x:v>
      </x:c>
      <x:c r="G24" s="18" t="n">
        <x:v>1</x:v>
      </x:c>
      <x:c r="H24" s="18" t="n">
        <x:v>2</x:v>
      </x:c>
      <x:c r="I24" s="18" t="str">
        <x:v>Interpretations:gather_more_evidence</x:v>
      </x:c>
    </x:row>
    <x:row r="25">
      <x:c r="A25" s="18" t="str">
        <x:v>UC12</x:v>
      </x:c>
      <x:c r="B25" s="18" t="str">
        <x:v>analysis</x:v>
      </x:c>
      <x:c r="C25" s="18" t="str">
        <x:v>command</x:v>
      </x:c>
      <x:c r="D25" s="18" t="str">
        <x:v>experiment.delivery</x:v>
      </x:c>
      <x:c r="E25" s="18" t="n">
        <x:v>1</x:v>
      </x:c>
      <x:c r="F25" s="18" t="n">
        <x:v>1</x:v>
      </x:c>
      <x:c r="G25" s="18" t="n">
        <x:v>2</x:v>
      </x:c>
      <x:c r="H25" s="18" t="n">
        <x:v>2</x:v>
      </x:c>
      <x:c r="I25" s="18" t="str"/>
    </x:row>
    <x:row r="26">
      <x:c r="A26" s="18" t="str">
        <x:v>UC13</x:v>
      </x:c>
      <x:c r="B26" s="18" t="str">
        <x:v>analysis</x:v>
      </x:c>
      <x:c r="C26" s="18" t="str">
        <x:v>command</x:v>
      </x:c>
      <x:c r="D26" s="18" t="str">
        <x:v>experiment.acquisition</x:v>
      </x:c>
      <x:c r="E26" s="18" t="n">
        <x:v>1</x:v>
      </x:c>
      <x:c r="F26" s="18" t="n">
        <x:v>1</x:v>
      </x:c>
      <x:c r="G26" s="18" t="n">
        <x:v>2</x:v>
      </x:c>
      <x:c r="H26" s="18" t="n">
        <x:v>2</x:v>
      </x:c>
      <x:c r="I26" s="18" t="str"/>
    </x:row>
    <x:row r="27">
      <x:c r="A27" s="18" t="str">
        <x:v>UC14</x:v>
      </x:c>
      <x:c r="B27" s="18" t="str">
        <x:v>analysis</x:v>
      </x:c>
      <x:c r="C27" s="18" t="str">
        <x:v>command</x:v>
      </x:c>
      <x:c r="D27" s="18" t="str">
        <x:v>decision.compare</x:v>
      </x:c>
      <x:c r="E27" s="18" t="n">
        <x:v>1</x:v>
      </x:c>
      <x:c r="F27" s="18" t="n">
        <x:v>1</x:v>
      </x:c>
      <x:c r="G27" s="18" t="n">
        <x:v>1</x:v>
      </x:c>
      <x:c r="H27" s="18" t="n">
        <x:v>2</x:v>
      </x:c>
      <x:c r="I27" s="18" t="str"/>
    </x:row>
    <x:row r="28">
      <x:c r="A28" s="18" t="str">
        <x:v>UC15</x:v>
      </x:c>
      <x:c r="B28" s="18" t="str">
        <x:v>maintenance</x:v>
      </x:c>
      <x:c r="C28" s="18" t="str">
        <x:v>command</x:v>
      </x:c>
      <x:c r="D28" s="18" t="str">
        <x:v>sources.manage</x:v>
      </x:c>
      <x:c r="E28" s="18" t="n">
        <x:v>1</x:v>
      </x:c>
      <x:c r="F28" s="18" t="n">
        <x:v>1</x:v>
      </x:c>
      <x:c r="G28" s="18" t="n">
        <x:v>1</x:v>
      </x:c>
      <x:c r="H28" s="18" t="n">
        <x:v>4</x:v>
      </x:c>
      <x:c r="I28" s="18" t="str"/>
    </x:row>
    <x:row r="29">
      <x:c r="A29" s="18" t="str">
        <x:v>UC16</x:v>
      </x:c>
      <x:c r="B29" s="18" t="str">
        <x:v>maintenance</x:v>
      </x:c>
      <x:c r="C29" s="18" t="str">
        <x:v>command</x:v>
      </x:c>
      <x:c r="D29" s="18" t="str">
        <x:v>system.change_policy</x:v>
      </x:c>
      <x:c r="E29" s="18" t="n">
        <x:v>1</x:v>
      </x:c>
      <x:c r="F29" s="18" t="n">
        <x:v>1</x:v>
      </x:c>
      <x:c r="G29" s="18" t="n">
        <x:v>3</x:v>
      </x:c>
      <x:c r="H29" s="18" t="n">
        <x:v>4</x:v>
      </x:c>
      <x:c r="I29" s="18" t="str"/>
    </x:row>
    <x:row r="30">
      <x:c r="A30" s="18" t="str">
        <x:v>UC17</x:v>
      </x:c>
      <x:c r="B30" s="18" t="str">
        <x:v>lifecycle</x:v>
      </x:c>
      <x:c r="C30" s="18" t="str">
        <x:v>orchestration</x:v>
      </x:c>
      <x:c r="D30" s="18" t="str">
        <x:v>project.checkpoint</x:v>
      </x:c>
      <x:c r="E30" s="18" t="n">
        <x:v>1</x:v>
      </x:c>
      <x:c r="F30" s="18" t="n">
        <x:v>1</x:v>
      </x:c>
      <x:c r="G30" s="18" t="n">
        <x:v>3</x:v>
      </x:c>
      <x:c r="H30" s="18" t="n">
        <x:v>5</x:v>
      </x:c>
      <x:c r="I30" s="18" t="str"/>
    </x:row>
    <x:row r="31">
      <x:c r="A31" s="18" t="str">
        <x:v>UC18</x:v>
      </x:c>
      <x:c r="B31" s="18" t="str">
        <x:v>lifecycle</x:v>
      </x:c>
      <x:c r="C31" s="18" t="str">
        <x:v>orchestration</x:v>
      </x:c>
      <x:c r="D31" s="18" t="str">
        <x:v>project.repair</x:v>
      </x:c>
      <x:c r="E31" s="18" t="n">
        <x:v>1</x:v>
      </x:c>
      <x:c r="F31" s="18" t="n">
        <x:v>1</x:v>
      </x:c>
      <x:c r="G31" s="18" t="n">
        <x:v>2</x:v>
      </x:c>
      <x:c r="H31" s="18" t="n">
        <x:v>2</x:v>
      </x:c>
      <x:c r="I31" s="18" t="str">
        <x:v>Coverage &amp; Quality:repair</x:v>
      </x:c>
    </x:row>
    <x:row r="32">
      <x:c r="A32" s="18" t="str">
        <x:v>UC19</x:v>
      </x:c>
      <x:c r="B32" s="18" t="str">
        <x:v>governance</x:v>
      </x:c>
      <x:c r="C32" s="18" t="str">
        <x:v>command</x:v>
      </x:c>
      <x:c r="D32" s="18" t="str">
        <x:v>system.audit_modify</x:v>
      </x:c>
      <x:c r="E32" s="18" t="n">
        <x:v>1</x:v>
      </x:c>
      <x:c r="F32" s="18" t="n">
        <x:v>1</x:v>
      </x:c>
      <x:c r="G32" s="18" t="n">
        <x:v>2</x:v>
      </x:c>
      <x:c r="H32" s="18" t="n">
        <x:v>4</x:v>
      </x:c>
      <x:c r="I32" s="18" t="str"/>
    </x:row>
    <x:row r="33">
      <x:c r="A33" s="18" t="str">
        <x:v>UC20</x:v>
      </x:c>
      <x:c r="B33" s="18" t="str">
        <x:v>lifecycle</x:v>
      </x:c>
      <x:c r="C33" s="18" t="str">
        <x:v>orchestration</x:v>
      </x:c>
      <x:c r="D33" s="18" t="str">
        <x:v>project.migrate</x:v>
      </x:c>
      <x:c r="E33" s="18" t="n">
        <x:v>1</x:v>
      </x:c>
      <x:c r="F33" s="18" t="n">
        <x:v>1</x:v>
      </x:c>
      <x:c r="G33" s="18" t="n">
        <x:v>2</x:v>
      </x:c>
      <x:c r="H33" s="18" t="n">
        <x:v>4</x:v>
      </x:c>
      <x:c r="I33" s="18" t="str"/>
    </x:row>
    <x:row r="34">
      <x:c r="A34" s="18" t="str">
        <x:v>UC21</x:v>
      </x:c>
      <x:c r="B34" s="18" t="str">
        <x:v>results</x:v>
      </x:c>
      <x:c r="C34" s="18" t="str">
        <x:v>query</x:v>
      </x:c>
      <x:c r="D34" s="18" t="str">
        <x:v>result.current_state</x:v>
      </x:c>
      <x:c r="E34" s="18" t="n">
        <x:v>2</x:v>
      </x:c>
      <x:c r="F34" s="18" t="n">
        <x:v>1</x:v>
      </x:c>
      <x:c r="G34" s="18" t="n">
        <x:v>2</x:v>
      </x:c>
      <x:c r="H34" s="18" t="n">
        <x:v>0</x:v>
      </x:c>
      <x:c r="I34" s="18" t="str">
        <x:v>Current State, Direction Detail</x:v>
      </x:c>
    </x:row>
    <x:row r="35">
      <x:c r="A35" s="18" t="str">
        <x:v>UC22</x:v>
      </x:c>
      <x:c r="B35" s="18" t="str">
        <x:v>results</x:v>
      </x:c>
      <x:c r="C35" s="18" t="str">
        <x:v>query</x:v>
      </x:c>
      <x:c r="D35" s="18" t="str">
        <x:v>result.changes</x:v>
      </x:c>
      <x:c r="E35" s="18" t="n">
        <x:v>2</x:v>
      </x:c>
      <x:c r="F35" s="18" t="n">
        <x:v>1</x:v>
      </x:c>
      <x:c r="G35" s="18" t="n">
        <x:v>2</x:v>
      </x:c>
      <x:c r="H35" s="18" t="n">
        <x:v>0</x:v>
      </x:c>
      <x:c r="I35" s="18" t="str">
        <x:v>Daily Changes, Direction Detail</x:v>
      </x:c>
    </x:row>
    <x:row r="36">
      <x:c r="A36" s="18" t="str">
        <x:v>UC23</x:v>
      </x:c>
      <x:c r="B36" s="18" t="str">
        <x:v>results</x:v>
      </x:c>
      <x:c r="C36" s="18" t="str">
        <x:v>query</x:v>
      </x:c>
      <x:c r="D36" s="18" t="str">
        <x:v>result.trend</x:v>
      </x:c>
      <x:c r="E36" s="18" t="n">
        <x:v>4</x:v>
      </x:c>
      <x:c r="F36" s="18" t="n">
        <x:v>1</x:v>
      </x:c>
      <x:c r="G36" s="18" t="n">
        <x:v>2</x:v>
      </x:c>
      <x:c r="H36" s="18" t="n">
        <x:v>0</x:v>
      </x:c>
      <x:c r="I36" s="18" t="str">
        <x:v>Trends, Direction Detail</x:v>
      </x:c>
    </x:row>
    <x:row r="37">
      <x:c r="A37" s="18" t="str">
        <x:v>UC24</x:v>
      </x:c>
      <x:c r="B37" s="18" t="str">
        <x:v>results</x:v>
      </x:c>
      <x:c r="C37" s="18" t="str">
        <x:v>query</x:v>
      </x:c>
      <x:c r="D37" s="18" t="str">
        <x:v>result.interpretation</x:v>
      </x:c>
      <x:c r="E37" s="18" t="n">
        <x:v>3</x:v>
      </x:c>
      <x:c r="F37" s="18" t="n">
        <x:v>1</x:v>
      </x:c>
      <x:c r="G37" s="18" t="n">
        <x:v>2</x:v>
      </x:c>
      <x:c r="H37" s="18" t="n">
        <x:v>0</x:v>
      </x:c>
      <x:c r="I37" s="18" t="str">
        <x:v>Interpretations</x:v>
      </x:c>
    </x:row>
    <x:row r="38">
      <x:c r="A38" s="18" t="str">
        <x:v>UC25</x:v>
      </x:c>
      <x:c r="B38" s="18" t="str">
        <x:v>results</x:v>
      </x:c>
      <x:c r="C38" s="18" t="str">
        <x:v>query</x:v>
      </x:c>
      <x:c r="D38" s="18" t="str">
        <x:v>result.research_health</x:v>
      </x:c>
      <x:c r="E38" s="18" t="n">
        <x:v>1</x:v>
      </x:c>
      <x:c r="F38" s="18" t="n">
        <x:v>1</x:v>
      </x:c>
      <x:c r="G38" s="18" t="n">
        <x:v>2</x:v>
      </x:c>
      <x:c r="H38" s="18" t="n">
        <x:v>0</x:v>
      </x:c>
      <x:c r="I38" s="18" t="str">
        <x:v>Coverage &amp; Quality, Direction Detail</x:v>
      </x:c>
    </x:row>
  </x:sheetData>
  <x:mergeCells>
    <x:mergeCell ref="A1:H1"/>
    <x:mergeCell ref="A1:I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4" hidden="0" customWidth="1"/>
    <x:col min="4" max="4" width="14" hidden="0" customWidth="1"/>
    <x:col min="5" max="5" width="22" hidden="0" customWidth="1"/>
    <x:col min="6" max="6" width="78" hidden="0" customWidth="1"/>
  </x:cols>
  <x:sheetData>
    <x:row r="1">
      <x:c r="A1" s="57" t="str">
        <x:v>Architecture Audit — v1.7.0 under Audit Framework 2.0</x:v>
      </x:c>
      <x:c r="B1" s="57"/>
      <x:c r="C1" s="57"/>
      <x:c r="D1" s="57"/>
      <x:c r="E1" s="57"/>
      <x:c r="F1" s="57"/>
    </x:row>
    <x:row r="3">
      <x:c r="A3" s="60" t="str">
        <x:v>Field</x:v>
      </x:c>
      <x:c r="B3" s="60" t="str">
        <x:v>Value</x:v>
      </x:c>
    </x:row>
    <x:row r="4">
      <x:c r="A4" t="str">
        <x:v>Audit framework</x:v>
      </x:c>
      <x:c r="B4" t="str">
        <x:v>2.0.0</x:v>
      </x:c>
    </x:row>
    <x:row r="5">
      <x:c r="A5" t="str">
        <x:v>Target system</x:v>
      </x:c>
      <x:c r="B5" t="str">
        <x:v>1.7.0</x:v>
      </x:c>
    </x:row>
    <x:row r="6">
      <x:c r="A6" t="str">
        <x:v>Audit clear</x:v>
      </x:c>
      <x:c r="B6" t="str">
        <x:v>NO</x:v>
      </x:c>
    </x:row>
    <x:row r="7">
      <x:c r="A7" t="str">
        <x:v>Release gate</x:v>
      </x:c>
      <x:c r="B7" t="str">
        <x:v>FAIL</x:v>
      </x:c>
    </x:row>
    <x:row r="8">
      <x:c r="A8" t="str">
        <x:v>Reason</x:v>
      </x:c>
      <x:c r="B8" t="str">
        <x:v>New critical architecture axes AX21, AX23 and AX24 fail under Framework 2.0.</x:v>
      </x:c>
    </x:row>
    <x:row r="10">
      <x:c r="A10" s="60" t="str">
        <x:v>Axis</x:v>
      </x:c>
      <x:c r="B10" s="60" t="str">
        <x:v>Name</x:v>
      </x:c>
      <x:c r="C10" s="60" t="str">
        <x:v>Status</x:v>
      </x:c>
      <x:c r="D10" s="60" t="str">
        <x:v>Severity</x:v>
      </x:c>
      <x:c r="E10" s="60" t="str">
        <x:v>Findings</x:v>
      </x:c>
      <x:c r="F10" s="60" t="str">
        <x:v>Summary</x:v>
      </x:c>
    </x:row>
    <x:row r="11">
      <x:c r="A11" s="18" t="str">
        <x:v>AX21</x:v>
      </x:c>
      <x:c r="B11" s="18" t="str">
        <x:v>Use-case routing correctness &amp; determinism</x:v>
      </x:c>
      <x:c r="C11" s="18" t="str">
        <x:v>fail</x:v>
      </x:c>
      <x:c r="D11" s="18" t="str">
        <x:v>high</x:v>
      </x:c>
      <x:c r="E11" s="18" t="str">
        <x:v>AF2-F001</x:v>
      </x:c>
      <x:c r="F11" s="18" t="str">
        <x:v>Registry integrity is good, but real routing behavior is not contract-tested across state/language/ambiguity.</x:v>
      </x:c>
    </x:row>
    <x:row r="12">
      <x:c r="A12" s="18" t="str">
        <x:v>AX22</x:v>
      </x:c>
      <x:c r="B12" s="18" t="str">
        <x:v>Use-case boundaries, orthogonality &amp; coverage</x:v>
      </x:c>
      <x:c r="C12" s="18" t="str">
        <x:v>partial</x:v>
      </x:c>
      <x:c r="D12" s="18" t="str">
        <x:v>medium</x:v>
      </x:c>
      <x:c r="E12" s="18" t="str">
        <x:v>AF2-F002</x:v>
      </x:c>
      <x:c r="F12" s="18" t="str">
        <x:v>Intent boundaries are documented with not_when rules, but the flat registry does not distinguish user-facing/domain workflows from orchestration/lifecycle operations.</x:v>
      </x:c>
    </x:row>
    <x:row r="13">
      <x:c r="A13" s="18" t="str">
        <x:v>AX23</x:v>
      </x:c>
      <x:c r="B13" s="18" t="str">
        <x:v>Workflow composition, transitions &amp; closure</x:v>
      </x:c>
      <x:c r="C13" s="18" t="str">
        <x:v>fail</x:v>
      </x:c>
      <x:c r="D13" s="18" t="str">
        <x:v>high</x:v>
      </x:c>
      <x:c r="E13" s="18" t="str">
        <x:v>AF2-F003</x:v>
      </x:c>
      <x:c r="F13" s="18" t="str">
        <x:v>All next IDs resolve, but transition selection/preconditions/postconditions are not machine-readable or testable.</x:v>
      </x:c>
    </x:row>
    <x:row r="14">
      <x:c r="A14" s="18" t="str">
        <x:v>AX24</x:v>
      </x:c>
      <x:c r="B14" s="18" t="str">
        <x:v>DRY, canonical ownership &amp; derived-view integrity</x:v>
      </x:c>
      <x:c r="C14" s="18" t="str">
        <x:v>fail</x:v>
      </x:c>
      <x:c r="D14" s="18" t="str">
        <x:v>high</x:v>
      </x:c>
      <x:c r="E14" s="18" t="str">
        <x:v>AF2-F004</x:v>
      </x:c>
      <x:c r="F14" s="18" t="str">
        <x:v>Canonical ownership is declared, but mutable routing metadata is duplicated manually in workflow/navigation prose without parity enforcement.</x:v>
      </x:c>
    </x:row>
    <x:row r="15">
      <x:c r="A15" s="18" t="str">
        <x:v>AX25</x:v>
      </x:c>
      <x:c r="B15" s="18" t="str">
        <x:v>End-to-end action and evidence traceability</x:v>
      </x:c>
      <x:c r="C15" s="18" t="str">
        <x:v>partial</x:v>
      </x:c>
      <x:c r="D15" s="18" t="str">
        <x:v>medium</x:v>
      </x:c>
      <x:c r="E15" s="18" t="str">
        <x:v>AF2-F005</x:v>
      </x:c>
      <x:c r="F15" s="18" t="str">
        <x:v>Task/use-case/method/source linkage exists, but route rationale/request lineage and registry version are missing.</x:v>
      </x:c>
    </x:row>
    <x:row r="16">
      <x:c r="A16" s="18" t="str">
        <x:v>AX26</x:v>
      </x:c>
      <x:c r="B16" s="18" t="str">
        <x:v>Architecture simplicity &amp; complexity budget</x:v>
      </x:c>
      <x:c r="C16" s="18" t="str">
        <x:v>partial</x:v>
      </x:c>
      <x:c r="D16" s="18" t="str">
        <x:v>medium</x:v>
      </x:c>
      <x:c r="E16" s="18" t="str">
        <x:v>AF2-F006</x:v>
      </x:c>
      <x:c r="F16" s="18" t="str">
        <x:v>The architecture is simpler than pre-v1.7, but no explicit complexity budget or wrapper/redundancy metric prevents future growth.</x:v>
      </x:c>
    </x:row>
  </x:sheetData>
  <x:mergeCells>
    <x:mergeCell ref="A1:F1"/>
  </x:mergeCells>
  <x:conditionalFormatting sqref="C11:C16">
    <x:cfRule type="expression" dxfId="8" priority="1">
      <x:formula>C11="fail"</x:formula>
    </x:cfRule>
    <x:cfRule type="expression" dxfId="9" priority="2">
      <x:formula>C11="partial"</x:formula>
    </x:cfRule>
    <x:cfRule type="expression" dxfId="10" priority="3">
      <x:formula>C11="pass"</x:formula>
    </x:cfRule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4" hidden="0" customWidth="1"/>
    <x:col min="4" max="4" width="50" hidden="0" customWidth="1"/>
    <x:col min="5" max="5" width="72" hidden="0" customWidth="1"/>
    <x:col min="6" max="6" width="60" hidden="0" customWidth="1"/>
    <x:col min="7" max="7" width="55" hidden="0" customWidth="1"/>
  </x:cols>
  <x:sheetData>
    <x:row r="1">
      <x:c r="A1" s="60" t="str">
        <x:v>Finding</x:v>
      </x:c>
      <x:c r="B1" s="60" t="str">
        <x:v>Axis</x:v>
      </x:c>
      <x:c r="C1" s="60" t="str">
        <x:v>Severity</x:v>
      </x:c>
      <x:c r="D1" s="60" t="str">
        <x:v>Title</x:v>
      </x:c>
      <x:c r="E1" s="60" t="str">
        <x:v>Evidence</x:v>
      </x:c>
      <x:c r="F1" s="60" t="str">
        <x:v>Impact</x:v>
      </x:c>
      <x:c r="G1" s="60" t="str">
        <x:v>Reproduce</x:v>
      </x:c>
    </x:row>
    <x:row r="2">
      <x:c r="A2" s="18" t="str">
        <x:v>AF2-F001</x:v>
      </x:c>
      <x:c r="B2" s="18" t="str">
        <x:v>AX21</x:v>
      </x:c>
      <x:c r="C2" s="18" t="str">
        <x:v>high</x:v>
      </x:c>
      <x:c r="D2" s="18" t="str">
        <x:v>Routing correctness has no representative state/language fixture contract</x:v>
      </x:c>
      <x:c r="E2" s="18" t="str">
        <x:v>Use-case registry integrity tests pass, but there is no routing fixture corpus. `route_use_case.py --query "что изменилось с вчера" --json` returns `[]`, while the English equivalent ranks UC09 first.</x:v>
      </x:c>
      <x:c r="F2" s="18" t="str">
        <x:v>The top-level router can be structurally valid while real user requests, especially non-English/state-sensitive ones, remain unverified or ambiguous.</x:v>
      </x:c>
      <x:c r="G2" s="18" t="str">
        <x:v>Run the two route_use_case queries recorded in the audit report.</x:v>
      </x:c>
    </x:row>
    <x:row r="3">
      <x:c r="A3" s="18" t="str">
        <x:v>AF2-F002</x:v>
      </x:c>
      <x:c r="B3" s="18" t="str">
        <x:v>AX22</x:v>
      </x:c>
      <x:c r="C3" s="18" t="str">
        <x:v>medium</x:v>
      </x:c>
      <x:c r="D3" s="18" t="str">
        <x:v>Registry mixes domain workflows and orchestration/lifecycle operations without an explicit use-case kind</x:v>
      </x:c>
      <x:c r="E3" s="18" t="str">
        <x:v>20 use cases share one flat registry. UC03 (execute task), UC17 (checkpoint) and domain workflows such as UC08 are not marked with `kind`, `user_facing` or equivalent.</x:v>
      </x:c>
      <x:c r="F3" s="18" t="str">
        <x:v>Boundary reviews and top-level routing must infer whether a UC represents user intent or internal orchestration, increasing overlap/cognitive load.</x:v>
      </x:c>
      <x:c r="G3" s="18" t="str">
        <x:v>Inspect registry fields; no use case contains `kind` or `user_facing`.</x:v>
      </x:c>
    </x:row>
    <x:row r="4">
      <x:c r="A4" s="18" t="str">
        <x:v>AF2-F003</x:v>
      </x:c>
      <x:c r="B4" s="18" t="str">
        <x:v>AX23</x:v>
      </x:c>
      <x:c r="C4" s="18" t="str">
        <x:v>high</x:v>
      </x:c>
      <x:c r="D4" s="18" t="str">
        <x:v>Use-case transitions are unguarded lists rather than explicit conditional transitions</x:v>
      </x:c>
      <x:c r="E4" s="18" t="str">
        <x:v>14 use cases have multiple `next` values (UC04, UC05, UC08, UC09, UC10, UC11, UC12, UC13, UC14, UC15, UC16, UC17, UC18, UC20), but registry records have no formal `preconditions`, `postconditions` or `transitions` fields.</x:v>
      </x:c>
      <x:c r="F4" s="18" t="str">
        <x:v>The system cannot machine-check which next use case is correct, whether a cycle makes progress, or whether failure/blocked routes are complete.</x:v>
      </x:c>
      <x:c r="G4" s="18" t="str">
        <x:v>Inspect CORE/USE_CASE_REGISTRY.json fields and `next` arrays.</x:v>
      </x:c>
    </x:row>
    <x:row r="5">
      <x:c r="A5" s="18" t="str">
        <x:v>AF2-F004</x:v>
      </x:c>
      <x:c r="B5" s="18" t="str">
        <x:v>AX24</x:v>
      </x:c>
      <x:c r="C5" s="18" t="str">
        <x:v>high</x:v>
      </x:c>
      <x:c r="D5" s="18" t="str">
        <x:v>Canonical routing metadata is manually duplicated in every workflow document</x:v>
      </x:c>
      <x:c r="E5" s="18" t="str">
        <x:v>20/20 workflow files repeat Intent, Route here when, Do not route here when and Normal next routes that also live in the canonical JSON registry. START_HERE also repeats common route mappings. Current tests verify presence/links, not parity of duplicated values.</x:v>
      </x:c>
      <x:c r="F5" s="18" t="str">
        <x:v>A future edit can change registry routing without updating workflow prose (or vice versa), creating silent behavioral/documentation drift despite the claimed single source of truth.</x:v>
      </x:c>
      <x:c r="G5" s="18" t="str">
        <x:v>Scan USE_CASES/UC*.md for the four routing sections and compare with registry fields.</x:v>
      </x:c>
    </x:row>
    <x:row r="6">
      <x:c r="A6" s="18" t="str">
        <x:v>AF2-F005</x:v>
      </x:c>
      <x:c r="B6" s="18" t="str">
        <x:v>AX25</x:v>
      </x:c>
      <x:c r="C6" s="18" t="str">
        <x:v>medium</x:v>
      </x:c>
      <x:c r="D6" s="18" t="str">
        <x:v>Task lineage records selected use_case_id but not why it was selected</x:v>
      </x:c>
      <x:c r="E6" s="18" t="str">
        <x:v>Task Manifest requires `use_case_id` but has no route_reason, request_ref, use_case_registry_version fields.</x:v>
      </x:c>
      <x:c r="F6" s="18" t="str">
        <x:v>A later clean chat can see which UC ran but cannot reconstruct the original request/routing rationale or the registry contract version used for that decision.</x:v>
      </x:c>
      <x:c r="G6" s="18" t="str">
        <x:v>Inspect TEMPLATES/TASK_MANIFEST_SCHEMA.json.</x:v>
      </x:c>
    </x:row>
    <x:row r="7">
      <x:c r="A7" s="18" t="str">
        <x:v>AF2-F006</x:v>
      </x:c>
      <x:c r="B7" s="18" t="str">
        <x:v>AX26</x:v>
      </x:c>
      <x:c r="C7" s="18" t="str">
        <x:v>medium</x:v>
      </x:c>
      <x:c r="D7" s="18" t="str">
        <x:v>Architecture has no explicit complexity budget or wrapper-layer metric</x:v>
      </x:c>
      <x:c r="E7" s="18" t="str">
        <x:v>The architecture has 20 use cases and several lifecycle/meta workflows, but no declared budget for top-level UCs, registries, common-path references or wrapper-only workflows.</x:v>
      </x:c>
      <x:c r="F7" s="18" t="str">
        <x:v>The system can gradually regain complexity/duplication while all semantic correctness tests remain green.</x:v>
      </x:c>
      <x:c r="G7" s="18" t="str">
        <x:v>Inspect USE_CASE_ARCHITECTURE.md and audit contracts; no architecture-complexity target is declared.</x:v>
      </x:c>
    </x:row>
  </x:sheetData>
  <x:conditionalFormatting sqref="C2:C7">
    <x:cfRule type="expression" dxfId="11" priority="1">
      <x:formula>C2="high"</x:formula>
    </x:cfRule>
    <x:cfRule type="expression" dxfId="12" priority="2">
      <x:formula>C2="medium"</x:formula>
    </x:cfRule>
  </x:conditionalFormatting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89" t="str">
        <x:v>Metric</x:v>
      </x:c>
      <x:c r="B1" s="89" t="str">
        <x:v>Budget</x:v>
      </x:c>
      <x:c r="C1" s="89" t="str">
        <x:v>Current</x:v>
      </x:c>
      <x:c r="D1" s="89" t="str">
        <x:v>Status</x:v>
      </x:c>
    </x:row>
    <x:row r="2">
      <x:c r="A2" s="18" t="str">
        <x:v>max_top_level_use_cases</x:v>
      </x:c>
      <x:c r="B2" s="18" t="n">
        <x:v>25</x:v>
      </x:c>
      <x:c r="C2" s="18" t="n">
        <x:v>25</x:v>
      </x:c>
      <x:c r="D2" s="18" t="str">
        <x:v>PASS</x:v>
      </x:c>
    </x:row>
    <x:row r="3">
      <x:c r="A3" s="18" t="str">
        <x:v>max_use_case_kinds</x:v>
      </x:c>
      <x:c r="B3" s="18" t="n">
        <x:v>4</x:v>
      </x:c>
      <x:c r="C3" s="18" t="n">
        <x:v>4</x:v>
      </x:c>
      <x:c r="D3" s="18" t="str">
        <x:v>PASS</x:v>
      </x:c>
    </x:row>
    <x:row r="4">
      <x:c r="A4" s="18" t="str">
        <x:v>max_orchestration_use_cases</x:v>
      </x:c>
      <x:c r="B4" s="18" t="n">
        <x:v>5</x:v>
      </x:c>
      <x:c r="C4" s="18" t="n">
        <x:v>5</x:v>
      </x:c>
      <x:c r="D4" s="18" t="str">
        <x:v>PASS</x:v>
      </x:c>
    </x:row>
    <x:row r="5">
      <x:c r="A5" s="18" t="str">
        <x:v>max_canonical_routing_registries</x:v>
      </x:c>
      <x:c r="B5" s="18" t="n">
        <x:v>1</x:v>
      </x:c>
      <x:c r="C5" s="18" t="n">
        <x:v>1</x:v>
      </x:c>
      <x:c r="D5" s="18" t="str">
        <x:v>PASS</x:v>
      </x:c>
    </x:row>
    <x:row r="6">
      <x:c r="A6" s="18" t="str">
        <x:v>max_routing_metadata_sections_in_workflows</x:v>
      </x:c>
      <x:c r="B6" s="18" t="n">
        <x:v>0</x:v>
      </x:c>
      <x:c r="C6" s="18" t="n">
        <x:v>0</x:v>
      </x:c>
      <x:c r="D6" s="18" t="str">
        <x:v>PASS</x:v>
      </x:c>
    </x:row>
    <x:row r="7">
      <x:c r="A7" s="18" t="str">
        <x:v>max_unguarded_multi_target_routes</x:v>
      </x:c>
      <x:c r="B7" s="18" t="n">
        <x:v>0</x:v>
      </x:c>
      <x:c r="C7" s="18" t="n">
        <x:v>0</x:v>
      </x:c>
      <x:c r="D7" s="18" t="str">
        <x:v>PASS</x:v>
      </x:c>
    </x:row>
    <x:row r="8">
      <x:c r="A8" s="18" t="str">
        <x:v>max_entrypoint_route_examples</x:v>
      </x:c>
      <x:c r="B8" s="18" t="n">
        <x:v>0</x:v>
      </x:c>
      <x:c r="C8" s="18" t="n">
        <x:v>0</x:v>
      </x:c>
      <x:c r="D8" s="18" t="str">
        <x:v>PASS</x:v>
      </x:c>
    </x:row>
    <x:row r="9">
      <x:c r="A9" s="18" t="str">
        <x:v>max_dependencies_per_use_case</x:v>
      </x:c>
      <x:c r="B9" s="18" t="n">
        <x:v>12</x:v>
      </x:c>
      <x:c r="C9" s="18" t="n">
        <x:v>11</x:v>
      </x:c>
      <x:c r="D9" s="18" t="str">
        <x:v>PASS</x:v>
      </x:c>
    </x:row>
    <x:row r="10">
      <x:c r="A10" s="18" t="str">
        <x:v>max_average_dependencies_per_use_case</x:v>
      </x:c>
      <x:c r="B10" s="18" t="n">
        <x:v>8</x:v>
      </x:c>
      <x:c r="C10" s="18" t="n">
        <x:v>6.28</x:v>
      </x:c>
      <x:c r="D10" s="18" t="str">
        <x:v>PASS</x:v>
      </x:c>
    </x:row>
    <x:row r="11">
      <x:c r="A11" s="18" t="str">
        <x:v>min_complete_contract_fields</x:v>
      </x:c>
      <x:c r="B11" s="18" t="n">
        <x:v>20</x:v>
      </x:c>
      <x:c r="C11" s="18" t="n">
        <x:v>30</x:v>
      </x:c>
      <x:c r="D11" s="18" t="str">
        <x:v>PASS</x:v>
      </x:c>
    </x:row>
    <x:row r="12">
      <x:c r="A12" s="18" t="str">
        <x:v>max_use_case_groups</x:v>
      </x:c>
      <x:c r="B12" s="18" t="n">
        <x:v>6</x:v>
      </x:c>
      <x:c r="C12" s="18" t="n">
        <x:v>6</x:v>
      </x:c>
      <x:c r="D12" s="18" t="str">
        <x:v>PASS</x:v>
      </x:c>
    </x:row>
    <x:row r="13">
      <x:c r="A13" s="18" t="str">
        <x:v>max_query_use_cases</x:v>
      </x:c>
      <x:c r="B13" s="18" t="n">
        <x:v>5</x:v>
      </x:c>
      <x:c r="C13" s="18" t="n">
        <x:v>5</x:v>
      </x:c>
      <x:c r="D13" s="18" t="str">
        <x:v>PASS</x:v>
      </x:c>
    </x:row>
  </x:sheetData>
  <x:conditionalFormatting sqref="D2:D10">
    <x:cfRule type="expression" dxfId="13" priority="1">
      <x:formula>D2="PASS"</x:formula>
    </x:cfRule>
  </x:conditionalFormatting>
  <x:conditionalFormatting sqref="D2:D11">
    <x:cfRule type="expression" dxfId="15" priority="2">
      <x:formula>D2="PASS"</x:formula>
    </x:cfRule>
    <x:cfRule type="expression" dxfId="16" priority="3">
      <x:formula>D2="FAIL"</x:formula>
    </x:cfRule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65" hidden="0" customWidth="1"/>
    <x:col min="4" max="4" width="55" hidden="0" customWidth="1"/>
  </x:cols>
  <x:sheetData>
    <x:row r="1">
      <x:c r="A1" s="18" t="str">
        <x:v>Architecture Remediation Audit — v1.8.0 / Framework 2.0</x:v>
      </x:c>
      <x:c r="B1" s="18" t="str"/>
      <x:c r="C1" s="18" t="str"/>
      <x:c r="D1" s="18" t="str"/>
    </x:row>
    <x:row r="2">
      <x:c r="A2" s="18" t="str"/>
      <x:c r="B2" s="18" t="str"/>
      <x:c r="C2" s="18" t="str"/>
      <x:c r="D2" s="18" t="str"/>
    </x:row>
    <x:row r="3">
      <x:c r="A3" s="66" t="str">
        <x:v>Field</x:v>
      </x:c>
      <x:c r="B3" s="66" t="str">
        <x:v>Value</x:v>
      </x:c>
      <x:c r="C3" s="18" t="str"/>
      <x:c r="D3" s="18" t="str"/>
    </x:row>
    <x:row r="4">
      <x:c r="A4" s="18" t="str">
        <x:v>Audit framework</x:v>
      </x:c>
      <x:c r="B4" s="18" t="str">
        <x:v>2.0.0 / AX01–AX26</x:v>
      </x:c>
      <x:c r="C4" s="18" t="str"/>
      <x:c r="D4" s="18" t="str"/>
    </x:row>
    <x:row r="5">
      <x:c r="A5" s="18" t="str">
        <x:v>Target system</x:v>
      </x:c>
      <x:c r="B5" s="18" t="str">
        <x:v>1.8.0</x:v>
      </x:c>
      <x:c r="C5" s="18" t="str"/>
      <x:c r="D5" s="18" t="str"/>
    </x:row>
    <x:row r="6">
      <x:c r="A6" s="18" t="str">
        <x:v>AF2 findings</x:v>
      </x:c>
      <x:c r="B6" s="18" t="str">
        <x:v>6 resolved</x:v>
      </x:c>
      <x:c r="C6" s="18" t="str"/>
      <x:c r="D6" s="18" t="str"/>
    </x:row>
    <x:row r="7">
      <x:c r="A7" s="18" t="str">
        <x:v>AX21–AX26</x:v>
      </x:c>
      <x:c r="B7" s="18" t="str">
        <x:v>PASS</x:v>
      </x:c>
      <x:c r="C7" s="18" t="str"/>
      <x:c r="D7" s="18" t="str"/>
    </x:row>
    <x:row r="8">
      <x:c r="A8" s="18" t="str">
        <x:v>Evidence</x:v>
      </x:c>
      <x:c r="B8" s="18" t="str">
        <x:v>routing fixtures + guarded flows + DRY parity + lineage + complexity budget</x:v>
      </x:c>
      <x:c r="C8" s="18" t="str"/>
      <x:c r="D8" s="18" t="str"/>
    </x:row>
    <x:row r="9">
      <x:c r="A9" s="18" t="str"/>
      <x:c r="B9" s="18" t="str"/>
      <x:c r="C9" s="18" t="str"/>
      <x:c r="D9" s="18" t="str"/>
    </x:row>
    <x:row r="10">
      <x:c r="A10" s="66" t="str">
        <x:v>Axis</x:v>
      </x:c>
      <x:c r="B10" s="66" t="str">
        <x:v>Status</x:v>
      </x:c>
      <x:c r="C10" s="66" t="str">
        <x:v>What changed</x:v>
      </x:c>
      <x:c r="D10" s="66" t="str">
        <x:v>Evidence</x:v>
      </x:c>
    </x:row>
    <x:row r="11">
      <x:c r="A11" s="18" t="str">
        <x:v>AX21</x:v>
      </x:c>
      <x:c r="B11" s="18" t="str">
        <x:v>PASS</x:v>
      </x:c>
      <x:c r="C11" s="18" t="str">
        <x:v>multilingual/state-sensitive routing + explicit no-match/ambiguity</x:v>
      </x:c>
      <x:c r="D11" s="18" t="str">
        <x:v>46 fixtures + ambiguity test</x:v>
      </x:c>
    </x:row>
    <x:row r="12">
      <x:c r="A12" s="18" t="str">
        <x:v>AX22</x:v>
      </x:c>
      <x:c r="B12" s="18" t="str">
        <x:v>PASS</x:v>
      </x:c>
      <x:c r="C12" s="18" t="str">
        <x:v>kind/action ownership + boundary rules</x:v>
      </x:c>
      <x:c r="D12" s="18" t="str">
        <x:v>4 kinds; 20 action classes; 8 boundary rules</x:v>
      </x:c>
    </x:row>
    <x:row r="13">
      <x:c r="A13" s="18" t="str">
        <x:v>AX23</x:v>
      </x:c>
      <x:c r="B13" s="18" t="str">
        <x:v>PASS</x:v>
      </x:c>
      <x:c r="C13" s="18" t="str">
        <x:v>preconditions/outcomes/guarded transitions</x:v>
      </x:c>
      <x:c r="D13" s="18" t="str">
        <x:v>6 flow fixtures + terminal reachability</x:v>
      </x:c>
    </x:row>
    <x:row r="14">
      <x:c r="A14" s="18" t="str">
        <x:v>AX24</x:v>
      </x:c>
      <x:c r="B14" s="18" t="str">
        <x:v>PASS</x:v>
      </x:c>
      <x:c r="C14" s="18" t="str">
        <x:v>one routing owner; generated/parity-checked human views</x:v>
      </x:c>
      <x:c r="D14" s="18" t="str">
        <x:v>workflow routing copies=0</x:v>
      </x:c>
    </x:row>
    <x:row r="15">
      <x:c r="A15" s="18" t="str">
        <x:v>AX25</x:v>
      </x:c>
      <x:c r="B15" s="18" t="str">
        <x:v>PASS</x:v>
      </x:c>
      <x:c r="C15" s="18" t="str">
        <x:v>route request/rationale/registry version/router retained</x:v>
      </x:c>
      <x:c r="D15" s="18" t="str">
        <x:v>Task Manifest schema</x:v>
      </x:c>
    </x:row>
    <x:row r="16">
      <x:c r="A16" s="18" t="str">
        <x:v>AX26</x:v>
      </x:c>
      <x:c r="B16" s="18" t="str">
        <x:v>PASS</x:v>
      </x:c>
      <x:c r="C16" s="18" t="str">
        <x:v>explicit measurable complexity budget</x:v>
      </x:c>
      <x:c r="D16" s="18" t="str">
        <x:v>validate_architecture.py</x:v>
      </x:c>
    </x:row>
  </x:sheetData>
  <x:conditionalFormatting sqref="B11:B16">
    <x:cfRule type="expression" dxfId="14" priority="1">
      <x:formula>B11="PASS"</x:formula>
    </x:cfRule>
  </x:conditionalFormatting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4" hidden="0" customWidth="1"/>
    <x:col min="4" max="4" width="16" hidden="0" customWidth="1"/>
    <x:col min="5" max="5" width="48" hidden="0" customWidth="1"/>
    <x:col min="6" max="6" width="32" hidden="0" customWidth="1"/>
    <x:col min="7" max="7" width="42" hidden="0" customWidth="1"/>
    <x:col min="8" max="8" width="62" hidden="0" customWidth="1"/>
  </x:cols>
  <x:sheetData>
    <x:row r="1">
      <x:c r="A1" s="70" t="str">
        <x:v>Golden Paths — derived release-gate view</x:v>
      </x:c>
      <x:c r="B1" s="70"/>
      <x:c r="C1" s="70"/>
      <x:c r="D1" s="70"/>
      <x:c r="E1" s="70"/>
      <x:c r="F1" s="70"/>
      <x:c r="G1" s="70"/>
      <x:c r="H1" s="70"/>
    </x:row>
    <x:row r="3">
      <x:c r="A3" s="75" t="str">
        <x:v>Field</x:v>
      </x:c>
      <x:c r="B3" s="75" t="str">
        <x:v>Value</x:v>
      </x:c>
    </x:row>
    <x:row r="4">
      <x:c r="A4" t="str">
        <x:v>Canonical registry</x:v>
      </x:c>
      <x:c r="B4" t="str">
        <x:v>CORE/GOLDEN_PATH_REGISTRY.json</x:v>
      </x:c>
    </x:row>
    <x:row r="5">
      <x:c r="A5" t="str">
        <x:v>Registry version</x:v>
      </x:c>
      <x:c r="B5" t="str">
        <x:v>1.0.0</x:v>
      </x:c>
    </x:row>
    <x:row r="6">
      <x:c r="A6" t="str">
        <x:v>System version</x:v>
      </x:c>
      <x:c r="B6" t="str">
        <x:v>1.9.0</x:v>
      </x:c>
    </x:row>
    <x:row r="7">
      <x:c r="A7" t="str">
        <x:v>Release-gate paths</x:v>
      </x:c>
      <x:c r="B7" t="n">
        <x:v>6</x:v>
      </x:c>
    </x:row>
    <x:row r="8">
      <x:c r="A8" t="str">
        <x:v>Runner</x:v>
      </x:c>
      <x:c r="B8" t="str">
        <x:v>TOOLS/run_golden_paths.py</x:v>
      </x:c>
    </x:row>
    <x:row r="10">
      <x:c r="A10" s="75" t="str">
        <x:v>ID</x:v>
      </x:c>
      <x:c r="B10" s="75" t="str">
        <x:v>Name</x:v>
      </x:c>
      <x:c r="C10" s="75" t="str">
        <x:v>Mode</x:v>
      </x:c>
      <x:c r="D10" s="75" t="str">
        <x:v>Release gate</x:v>
      </x:c>
      <x:c r="E10" s="75" t="str">
        <x:v>Request</x:v>
      </x:c>
      <x:c r="F10" s="75" t="str">
        <x:v>Expected UC sequence</x:v>
      </x:c>
      <x:c r="G10" s="75" t="str">
        <x:v>Workflow</x:v>
      </x:c>
      <x:c r="H10" s="75" t="str">
        <x:v>Purpose</x:v>
      </x:c>
    </x:row>
    <x:row r="11">
      <x:c r="A11" s="18" t="str">
        <x:v>GP01</x:v>
      </x:c>
      <x:c r="B11" s="18" t="str">
        <x:v>Start new project</x:v>
      </x:c>
      <x:c r="C11" s="18" t="str">
        <x:v>hermetic</x:v>
      </x:c>
      <x:c r="D11" s="53" t="b">
        <x:v>1</x:v>
      </x:c>
      <x:c r="E11" s="18" t="str">
        <x:v>начать новое исследование с нуля</x:v>
      </x:c>
      <x:c r="F11" s="18" t="str">
        <x:v>UC01 → UC03</x:v>
      </x:c>
      <x:c r="G11" s="18" t="str">
        <x:v>GOLDEN_PATHS/GP01_START_NEW_PROJECT.md</x:v>
      </x:c>
      <x:c r="H11" s="18" t="str">
        <x:v>Prove a clean request can route to project initialization and hand control to atomic-task execution.</x:v>
      </x:c>
    </x:row>
    <x:row r="12">
      <x:c r="A12" s="18" t="str">
        <x:v>GP02</x:v>
      </x:c>
      <x:c r="B12" s="18" t="str">
        <x:v>Continue previous baseline</x:v>
      </x:c>
      <x:c r="C12" s="18" t="str">
        <x:v>hermetic</x:v>
      </x:c>
      <x:c r="D12" s="53" t="b">
        <x:v>1</x:v>
      </x:c>
      <x:c r="E12" s="18" t="str">
        <x:v>продолжи прошлое исследование из старого архива</x:v>
      </x:c>
      <x:c r="F12" s="18" t="str">
        <x:v>UC02 → UC03</x:v>
      </x:c>
      <x:c r="G12" s="18" t="str">
        <x:v>GOLDEN_PATHS/GP02_CONTINUE_BASELINE.md</x:v>
      </x:c>
      <x:c r="H12" s="18" t="str">
        <x:v>Prove a reusable baseline can be inventoried/bootstraped and handed to the normal execution path.</x:v>
      </x:c>
    </x:row>
    <x:row r="13">
      <x:c r="A13" s="18" t="str">
        <x:v>GP03</x:v>
      </x:c>
      <x:c r="B13" s="18" t="str">
        <x:v>Paid-work research pipeline</x:v>
      </x:c>
      <x:c r="C13" s="18" t="str">
        <x:v>hermetic</x:v>
      </x:c>
      <x:c r="D13" s="53" t="b">
        <x:v>1</x:v>
      </x:c>
      <x:c r="E13" s="18" t="str">
        <x:v>собери programming jobs и выясни за какие небольшие задачи платят</x:v>
      </x:c>
      <x:c r="F13" s="18" t="str">
        <x:v>UC06 → UC07 → UC08 → UC14 → UC17</x:v>
      </x:c>
      <x:c r="G13" s="18" t="str">
        <x:v>GOLDEN_PATHS/GP03_PAID_WORK_PIPELINE.md</x:v>
      </x:c>
      <x:c r="H13" s="18" t="str">
        <x:v>Exercise the core research control-flow from raw paid work through normalization, measurement, decision, and checkpoint.</x:v>
      </x:c>
    </x:row>
    <x:row r="14">
      <x:c r="A14" s="18" t="str">
        <x:v>GP04</x:v>
      </x:c>
      <x:c r="B14" s="18" t="str">
        <x:v>Daily monitoring and diff</x:v>
      </x:c>
      <x:c r="C14" s="18" t="str">
        <x:v>hermetic</x:v>
      </x:c>
      <x:c r="D14" s="53" t="b">
        <x:v>1</x:v>
      </x:c>
      <x:c r="E14" s="18" t="str">
        <x:v>что изменилось с вчера по известному направлению</x:v>
      </x:c>
      <x:c r="F14" s="18" t="str">
        <x:v>UC09 → UC17</x:v>
      </x:c>
      <x:c r="G14" s="18" t="str">
        <x:v>GOLDEN_PATHS/GP04_DAILY_MONITORING.md</x:v>
      </x:c>
      <x:c r="H14" s="18" t="str">
        <x:v>Exercise dated observations, comparable daily runs, change detection, and monitoring handoff.</x:v>
      </x:c>
    </x:row>
    <x:row r="15">
      <x:c r="A15" s="18" t="str">
        <x:v>GP05</x:v>
      </x:c>
      <x:c r="B15" s="18" t="str">
        <x:v>Add and persist a research source</x:v>
      </x:c>
      <x:c r="C15" s="18" t="str">
        <x:v>hermetic</x:v>
      </x:c>
      <x:c r="D15" s="53" t="b">
        <x:v>1</x:v>
      </x:c>
      <x:c r="E15" s="18" t="str">
        <x:v>добавь этот источник в реестр источников</x:v>
      </x:c>
      <x:c r="F15" s="18" t="str">
        <x:v>UC15 → UC17</x:v>
      </x:c>
      <x:c r="G15" s="18" t="str">
        <x:v>GOLDEN_PATHS/GP05_ADD_SOURCE.md</x:v>
      </x:c>
      <x:c r="H15" s="18" t="str">
        <x:v>Exercise source-management routing, schema-valid source persistence, and checkpoint handoff.</x:v>
      </x:c>
    </x:row>
    <x:row r="16">
      <x:c r="A16" s="18" t="str">
        <x:v>GP06</x:v>
      </x:c>
      <x:c r="B16" s="18" t="str">
        <x:v>Method change requiring migration</x:v>
      </x:c>
      <x:c r="C16" s="18" t="str">
        <x:v>hermetic</x:v>
      </x:c>
      <x:c r="D16" s="53" t="b">
        <x:v>1</x:v>
      </x:c>
      <x:c r="E16" s="18" t="str">
        <x:v>измени метод исследования; для этого нужна миграция проекта</x:v>
      </x:c>
      <x:c r="F16" s="18" t="str">
        <x:v>UC16 → UC20 → UC03</x:v>
      </x:c>
      <x:c r="G16" s="18" t="str">
        <x:v>GOLDEN_PATHS/GP06_METHOD_CHANGE_MIGRATION.md</x:v>
      </x:c>
      <x:c r="H16" s="18" t="str">
        <x:v>Exercise project-local method-change routing, migration handoff, supported upgrade, and return to normal execution.</x:v>
      </x:c>
    </x:row>
  </x:sheetData>
  <x:mergeCells>
    <x:mergeCell ref="A1:H1"/>
  </x:mergeCells>
  <x:pageMargins left="0.7" right="0.7" top="0.75" bottom="0.75" header="0.3" footer="0.3"/>
</x:worksheet>
</file>